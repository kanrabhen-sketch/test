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res" sheetId="1" state="visible" r:id="rId1"/>
    <sheet name="sales_logs" sheetId="2" state="visible" r:id="rId2"/>
    <sheet name="monthly_summary" sheetId="3" state="visible" r:id="rId3"/>
    <sheet name="missing_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4" fontId="0" fillId="3" borderId="0" pivotButton="0" quotePrefix="0" xfId="0"/>
  </cellXfs>
  <cellStyles count="1">
    <cellStyle name="Normal" xfId="0" builtinId="0" hidden="0"/>
  </cellStyles>
  <dxfs count="8">
    <dxf>
      <font>
        <color rgb="00CC0000"/>
      </font>
    </dxf>
    <dxf>
      <fill>
        <patternFill patternType="solid">
          <fgColor rgb="00FFCCCC"/>
        </patternFill>
      </fill>
    </dxf>
    <dxf>
      <fill>
        <patternFill patternType="solid">
          <fgColor rgb="00CCCCCC"/>
        </patternFill>
      </fill>
    </dxf>
    <dxf>
      <fill>
        <patternFill patternType="solid">
          <fgColor rgb="00FFF3CD"/>
        </patternFill>
      </fill>
    </dxf>
    <dxf>
      <font>
        <color rgb="00FFFFFF"/>
      </font>
      <fill>
        <patternFill patternType="solid">
          <fgColor rgb="00FF0000"/>
        </patternFill>
      </fill>
    </dxf>
    <dxf>
      <fill>
        <patternFill patternType="solid">
          <fgColor rgb="00AAAAAA"/>
        </patternFill>
      </fill>
    </dxf>
    <dxf>
      <font>
        <color rgb="000000CC"/>
      </font>
    </dxf>
    <dxf>
      <fill>
        <patternFill patternType="solid">
          <fgColor rgb="00E3F2F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12" customWidth="1" min="4" max="4"/>
    <col width="14" customWidth="1" min="5" max="5"/>
    <col width="8" customWidth="1" min="6" max="6"/>
    <col width="10" customWidth="1" min="7" max="7"/>
    <col width="40" customWidth="1" min="8" max="8"/>
  </cols>
  <sheetData>
    <row r="1">
      <c r="A1" s="1" t="inlineStr">
        <is>
          <t>store_id</t>
        </is>
      </c>
      <c r="B1" s="1" t="inlineStr">
        <is>
          <t>담당컨설턴트</t>
        </is>
      </c>
      <c r="C1" s="1" t="inlineStr">
        <is>
          <t>업체명</t>
        </is>
      </c>
      <c r="D1" s="1" t="inlineStr">
        <is>
          <t>점주명</t>
        </is>
      </c>
      <c r="E1" s="1" t="inlineStr">
        <is>
          <t>연락처</t>
        </is>
      </c>
      <c r="F1" s="1" t="inlineStr">
        <is>
          <t>지역</t>
        </is>
      </c>
      <c r="G1" s="1" t="inlineStr">
        <is>
          <t>상태</t>
        </is>
      </c>
      <c r="H1" s="1" t="inlineStr">
        <is>
          <t>입력링크</t>
        </is>
      </c>
    </row>
    <row r="2">
      <c r="A2" t="inlineStr">
        <is>
          <t>S001</t>
        </is>
      </c>
      <c r="B2" t="inlineStr">
        <is>
          <t>김한성</t>
        </is>
      </c>
      <c r="C2" t="inlineStr">
        <is>
          <t>굴지막 영천본점</t>
        </is>
      </c>
      <c r="D2" t="inlineStr"/>
      <c r="E2" t="inlineStr"/>
      <c r="F2" t="inlineStr">
        <is>
          <t>경북</t>
        </is>
      </c>
      <c r="G2" t="inlineStr">
        <is>
          <t>active</t>
        </is>
      </c>
      <c r="H2" t="inlineStr"/>
    </row>
    <row r="3">
      <c r="A3" t="inlineStr">
        <is>
          <t>S002</t>
        </is>
      </c>
      <c r="B3" t="inlineStr">
        <is>
          <t>김한성</t>
        </is>
      </c>
      <c r="C3" t="inlineStr">
        <is>
          <t>백동소풍가는길</t>
        </is>
      </c>
      <c r="D3" t="inlineStr"/>
      <c r="E3" t="inlineStr"/>
      <c r="F3" t="inlineStr">
        <is>
          <t>경기</t>
        </is>
      </c>
      <c r="G3" t="inlineStr">
        <is>
          <t>active</t>
        </is>
      </c>
      <c r="H3" t="inlineStr"/>
    </row>
    <row r="4">
      <c r="A4" t="inlineStr">
        <is>
          <t>S003</t>
        </is>
      </c>
      <c r="B4" t="inlineStr">
        <is>
          <t>김한성</t>
        </is>
      </c>
      <c r="C4" t="inlineStr">
        <is>
          <t>원시민족갈비 부평구청점</t>
        </is>
      </c>
      <c r="D4" t="inlineStr"/>
      <c r="E4" t="inlineStr"/>
      <c r="F4" t="inlineStr">
        <is>
          <t>인천</t>
        </is>
      </c>
      <c r="G4" t="inlineStr">
        <is>
          <t>active</t>
        </is>
      </c>
      <c r="H4" t="inlineStr"/>
    </row>
    <row r="5">
      <c r="A5" t="inlineStr">
        <is>
          <t>S004</t>
        </is>
      </c>
      <c r="B5" t="inlineStr">
        <is>
          <t>김한성</t>
        </is>
      </c>
      <c r="C5" t="inlineStr">
        <is>
          <t>미미냉삼(신증동)</t>
        </is>
      </c>
      <c r="D5" t="inlineStr"/>
      <c r="E5" t="inlineStr"/>
      <c r="F5" t="inlineStr">
        <is>
          <t>경기</t>
        </is>
      </c>
      <c r="G5" t="inlineStr">
        <is>
          <t>active</t>
        </is>
      </c>
      <c r="H5" t="inlineStr"/>
    </row>
    <row r="6">
      <c r="A6" t="inlineStr">
        <is>
          <t>S005</t>
        </is>
      </c>
      <c r="B6" t="inlineStr">
        <is>
          <t>김왕걸</t>
        </is>
      </c>
      <c r="C6" t="inlineStr">
        <is>
          <t>참숯삼인조 대구총로점</t>
        </is>
      </c>
      <c r="D6" t="inlineStr"/>
      <c r="E6" t="inlineStr"/>
      <c r="F6" t="inlineStr">
        <is>
          <t>대구</t>
        </is>
      </c>
      <c r="G6" t="inlineStr">
        <is>
          <t>active</t>
        </is>
      </c>
      <c r="H6" t="inlineStr"/>
    </row>
    <row r="7">
      <c r="A7" t="inlineStr">
        <is>
          <t>S006</t>
        </is>
      </c>
      <c r="B7" t="inlineStr">
        <is>
          <t>김왕걸</t>
        </is>
      </c>
      <c r="C7" t="inlineStr">
        <is>
          <t>고솜 고양덕은본점</t>
        </is>
      </c>
      <c r="D7" t="inlineStr"/>
      <c r="E7" t="inlineStr"/>
      <c r="F7" t="inlineStr">
        <is>
          <t>경기</t>
        </is>
      </c>
      <c r="G7" t="inlineStr">
        <is>
          <t>active</t>
        </is>
      </c>
      <c r="H7" t="inlineStr"/>
    </row>
    <row r="8">
      <c r="A8" t="inlineStr">
        <is>
          <t>S007</t>
        </is>
      </c>
      <c r="B8" t="inlineStr">
        <is>
          <t>김왕걸</t>
        </is>
      </c>
      <c r="C8" t="inlineStr">
        <is>
          <t>다용차반</t>
        </is>
      </c>
      <c r="D8" t="inlineStr"/>
      <c r="E8" t="inlineStr"/>
      <c r="F8" t="inlineStr">
        <is>
          <t>경기</t>
        </is>
      </c>
      <c r="G8" t="inlineStr">
        <is>
          <t>active</t>
        </is>
      </c>
      <c r="H8" t="inlineStr"/>
    </row>
    <row r="9">
      <c r="A9" t="inlineStr">
        <is>
          <t>S008</t>
        </is>
      </c>
      <c r="B9" t="inlineStr">
        <is>
          <t>김왕걸</t>
        </is>
      </c>
      <c r="C9" t="inlineStr">
        <is>
          <t>든볼닉 대전톤산동직영점</t>
        </is>
      </c>
      <c r="D9" t="inlineStr"/>
      <c r="E9" t="inlineStr"/>
      <c r="F9" t="inlineStr">
        <is>
          <t>대전</t>
        </is>
      </c>
      <c r="G9" t="inlineStr">
        <is>
          <t>active</t>
        </is>
      </c>
      <c r="H9" t="inlineStr"/>
    </row>
    <row r="10">
      <c r="A10" t="inlineStr">
        <is>
          <t>S009</t>
        </is>
      </c>
      <c r="B10" t="inlineStr">
        <is>
          <t>김왕걸</t>
        </is>
      </c>
      <c r="C10" t="inlineStr">
        <is>
          <t>화로갈비</t>
        </is>
      </c>
      <c r="D10" t="inlineStr"/>
      <c r="E10" t="inlineStr"/>
      <c r="F10" t="inlineStr">
        <is>
          <t>경기</t>
        </is>
      </c>
      <c r="G10" t="inlineStr">
        <is>
          <t>active</t>
        </is>
      </c>
      <c r="H10" t="inlineStr"/>
    </row>
    <row r="11">
      <c r="A11" t="inlineStr">
        <is>
          <t>S010</t>
        </is>
      </c>
      <c r="B11" t="inlineStr">
        <is>
          <t>김왕걸</t>
        </is>
      </c>
      <c r="C11" t="inlineStr">
        <is>
          <t>양치기소녀 신설동점</t>
        </is>
      </c>
      <c r="D11" t="inlineStr"/>
      <c r="E11" t="inlineStr"/>
      <c r="F11" t="inlineStr">
        <is>
          <t>서울</t>
        </is>
      </c>
      <c r="G11" t="inlineStr">
        <is>
          <t>active</t>
        </is>
      </c>
      <c r="H11" t="inlineStr"/>
    </row>
    <row r="12">
      <c r="A12" t="inlineStr">
        <is>
          <t>S011</t>
        </is>
      </c>
      <c r="B12" t="inlineStr">
        <is>
          <t>김왕걸</t>
        </is>
      </c>
      <c r="C12" t="inlineStr">
        <is>
          <t>일산황금설렁탕</t>
        </is>
      </c>
      <c r="D12" t="inlineStr"/>
      <c r="E12" t="inlineStr"/>
      <c r="F12" t="inlineStr">
        <is>
          <t>경기</t>
        </is>
      </c>
      <c r="G12" t="inlineStr">
        <is>
          <t>active</t>
        </is>
      </c>
      <c r="H12" t="inlineStr"/>
    </row>
    <row r="13">
      <c r="A13" t="inlineStr">
        <is>
          <t>S012</t>
        </is>
      </c>
      <c r="B13" t="inlineStr">
        <is>
          <t>김왕걸</t>
        </is>
      </c>
      <c r="C13" t="inlineStr">
        <is>
          <t>흥능축발 왕십리</t>
        </is>
      </c>
      <c r="D13" t="inlineStr"/>
      <c r="E13" t="inlineStr"/>
      <c r="F13" t="inlineStr">
        <is>
          <t>서울</t>
        </is>
      </c>
      <c r="G13" t="inlineStr">
        <is>
          <t>active</t>
        </is>
      </c>
      <c r="H13" t="inlineStr"/>
    </row>
    <row r="14">
      <c r="A14" t="inlineStr">
        <is>
          <t>S013</t>
        </is>
      </c>
      <c r="B14" t="inlineStr">
        <is>
          <t>김왕걸</t>
        </is>
      </c>
      <c r="C14" t="inlineStr">
        <is>
          <t>태갈공명</t>
        </is>
      </c>
      <c r="D14" t="inlineStr"/>
      <c r="E14" t="inlineStr"/>
      <c r="F14" t="inlineStr">
        <is>
          <t>경기</t>
        </is>
      </c>
      <c r="G14" t="inlineStr">
        <is>
          <t>active</t>
        </is>
      </c>
      <c r="H14" t="inlineStr"/>
    </row>
    <row r="15">
      <c r="A15" t="inlineStr">
        <is>
          <t>S014</t>
        </is>
      </c>
      <c r="B15" t="inlineStr">
        <is>
          <t>박석현</t>
        </is>
      </c>
      <c r="C15" t="inlineStr">
        <is>
          <t>스마일부대찌개</t>
        </is>
      </c>
      <c r="D15" t="inlineStr"/>
      <c r="E15" t="inlineStr"/>
      <c r="F15" t="inlineStr">
        <is>
          <t>경기</t>
        </is>
      </c>
      <c r="G15" t="inlineStr">
        <is>
          <t>active</t>
        </is>
      </c>
      <c r="H15" t="inlineStr"/>
    </row>
    <row r="16">
      <c r="A16" t="inlineStr">
        <is>
          <t>S015</t>
        </is>
      </c>
      <c r="B16" t="inlineStr">
        <is>
          <t>박석현</t>
        </is>
      </c>
      <c r="C16" t="inlineStr">
        <is>
          <t>만세갈비</t>
        </is>
      </c>
      <c r="D16" t="inlineStr"/>
      <c r="E16" t="inlineStr"/>
      <c r="F16" t="inlineStr">
        <is>
          <t>경기</t>
        </is>
      </c>
      <c r="G16" t="inlineStr">
        <is>
          <t>active</t>
        </is>
      </c>
      <c r="H16" t="inlineStr"/>
    </row>
    <row r="17">
      <c r="A17" t="inlineStr">
        <is>
          <t>S016</t>
        </is>
      </c>
      <c r="B17" t="inlineStr">
        <is>
          <t>박석현</t>
        </is>
      </c>
      <c r="C17" t="inlineStr">
        <is>
          <t>부치공</t>
        </is>
      </c>
      <c r="D17" t="inlineStr"/>
      <c r="E17" t="inlineStr"/>
      <c r="F17" t="inlineStr">
        <is>
          <t>경기</t>
        </is>
      </c>
      <c r="G17" t="inlineStr">
        <is>
          <t>active</t>
        </is>
      </c>
      <c r="H17" t="inlineStr"/>
    </row>
    <row r="18">
      <c r="A18" t="inlineStr">
        <is>
          <t>S017</t>
        </is>
      </c>
      <c r="B18" t="inlineStr">
        <is>
          <t>박석현</t>
        </is>
      </c>
      <c r="C18" t="inlineStr">
        <is>
          <t>소랑</t>
        </is>
      </c>
      <c r="D18" t="inlineStr"/>
      <c r="E18" t="inlineStr"/>
      <c r="F18" t="inlineStr">
        <is>
          <t>경기</t>
        </is>
      </c>
      <c r="G18" t="inlineStr">
        <is>
          <t>active</t>
        </is>
      </c>
      <c r="H18" t="inlineStr"/>
    </row>
    <row r="19">
      <c r="A19" t="inlineStr">
        <is>
          <t>S018</t>
        </is>
      </c>
      <c r="B19" t="inlineStr">
        <is>
          <t>송다영</t>
        </is>
      </c>
      <c r="C19" t="inlineStr">
        <is>
          <t>한계령코다리찜동태찌개</t>
        </is>
      </c>
      <c r="D19" t="inlineStr"/>
      <c r="E19" t="inlineStr"/>
      <c r="F19" t="inlineStr">
        <is>
          <t>강원</t>
        </is>
      </c>
      <c r="G19" t="inlineStr">
        <is>
          <t>active</t>
        </is>
      </c>
      <c r="H19" t="inlineStr"/>
    </row>
  </sheetData>
  <dataValidations count="1">
    <dataValidation sqref="G2:G200" showDropDown="0" showInputMessage="0" showErrorMessage="0" allowBlank="0" type="list">
      <formula1>"active,inactive"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2" customWidth="1" min="3" max="3"/>
    <col width="10" customWidth="1" min="4" max="4"/>
    <col width="12" customWidth="1" min="5" max="5"/>
    <col width="20" customWidth="1" min="6" max="6"/>
    <col width="10" customWidth="1" min="7" max="7"/>
    <col width="30" customWidth="1" min="8" max="8"/>
    <col width="10" customWidth="1" min="9" max="9"/>
    <col width="10" customWidth="1" min="10" max="10"/>
    <col width="24" customWidth="1" min="11" max="11"/>
  </cols>
  <sheetData>
    <row r="1">
      <c r="A1" s="1" t="inlineStr">
        <is>
          <t>제출시간</t>
        </is>
      </c>
      <c r="B1" s="1" t="inlineStr">
        <is>
          <t>store_id</t>
        </is>
      </c>
      <c r="C1" s="1" t="inlineStr">
        <is>
          <t>영업일</t>
        </is>
      </c>
      <c r="D1" s="1" t="inlineStr">
        <is>
          <t>영업여부</t>
        </is>
      </c>
      <c r="E1" s="1" t="inlineStr">
        <is>
          <t>일매출</t>
        </is>
      </c>
      <c r="F1" s="1" t="inlineStr">
        <is>
          <t>메모</t>
        </is>
      </c>
      <c r="G1" s="1" t="inlineStr">
        <is>
          <t>log_id</t>
        </is>
      </c>
      <c r="H1" s="1" t="inlineStr">
        <is>
          <t>업체명</t>
        </is>
      </c>
      <c r="I1" s="1" t="inlineStr">
        <is>
          <t>중복여부</t>
        </is>
      </c>
      <c r="J1" s="1" t="inlineStr">
        <is>
          <t>확인여부</t>
        </is>
      </c>
      <c r="K1" s="1" t="inlineStr">
        <is>
          <t>수정메모</t>
        </is>
      </c>
    </row>
    <row r="2">
      <c r="G2">
        <f>ARRAYFORMULA(IF(A2:A="","","L"&amp;TEXT(ROW(A2:A)-1,"0000")))</f>
        <v/>
      </c>
      <c r="H2">
        <f>ARRAYFORMULA(IF(B2:B="","",IFERROR(VLOOKUP(B2:B,stores!$A:$C,3,0),"store_id 오류")))</f>
        <v/>
      </c>
      <c r="I2">
        <f>MAP(B2:B1000,C2:C1000,ROW(B2:B1000),LAMBDA(store,date,rownum,IF(OR(store="",date=""),FALSE,COUNTIFS($B$2:INDEX($B:$B,rownum),store,$C$2:INDEX($C:$C,rownum),date)&gt;1)))</f>
        <v/>
      </c>
      <c r="J2" t="b">
        <v>0</v>
      </c>
    </row>
  </sheetData>
  <conditionalFormatting sqref="A2:K1000">
    <cfRule type="expression" priority="1" dxfId="0">
      <formula>AND($D2="영업",$E2=0)</formula>
    </cfRule>
  </conditionalFormatting>
  <conditionalFormatting sqref="I2:I1000">
    <cfRule type="cellIs" priority="2" operator="equal" dxfId="1">
      <formula>TRUE</formula>
    </cfRule>
  </conditionalFormatting>
  <dataValidations count="2">
    <dataValidation sqref="D2:D1000" showDropDown="0" showInputMessage="0" showErrorMessage="0" allowBlank="0" type="list">
      <formula1>"영업,휴무"</formula1>
    </dataValidation>
    <dataValidation sqref="J2:J10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21"/>
  <sheetViews>
    <sheetView workbookViewId="0">
      <pane xSplit="10" ySplit="3" topLeftCell="K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10" customWidth="1" min="1" max="1"/>
    <col width="14" customWidth="1" min="2" max="2"/>
    <col width="30" customWidth="1" min="3" max="3"/>
    <col width="10" customWidth="1" min="4" max="4"/>
    <col width="12" customWidth="1" min="5" max="5"/>
    <col width="10" customWidth="1" min="6" max="6"/>
    <col width="10" customWidth="1" min="7" max="7"/>
    <col width="14" customWidth="1" min="8" max="8"/>
    <col width="12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</cols>
  <sheetData>
    <row r="1">
      <c r="B1" s="2" t="inlineStr">
        <is>
          <t>기준연도</t>
        </is>
      </c>
      <c r="C1" s="3" t="n">
        <v>2026</v>
      </c>
      <c r="D1" s="2" t="inlineStr">
        <is>
          <t>기준월</t>
        </is>
      </c>
      <c r="E1" s="3" t="n">
        <v>6</v>
      </c>
    </row>
    <row r="3">
      <c r="A3" s="1" t="inlineStr">
        <is>
          <t>store_id</t>
        </is>
      </c>
      <c r="B3" s="1" t="inlineStr">
        <is>
          <t>담당컨설턴트</t>
        </is>
      </c>
      <c r="C3" s="1" t="inlineStr">
        <is>
          <t>업체명</t>
        </is>
      </c>
      <c r="D3" s="1" t="inlineStr">
        <is>
          <t>입력률</t>
        </is>
      </c>
      <c r="E3" s="1" t="inlineStr">
        <is>
          <t>미입력일수</t>
        </is>
      </c>
      <c r="F3" s="1" t="inlineStr">
        <is>
          <t>휴무일수</t>
        </is>
      </c>
      <c r="G3" s="1" t="inlineStr">
        <is>
          <t>영업일수</t>
        </is>
      </c>
      <c r="H3" s="1" t="inlineStr">
        <is>
          <t>월매출</t>
        </is>
      </c>
      <c r="I3" s="1" t="inlineStr">
        <is>
          <t>일평균</t>
        </is>
      </c>
      <c r="J3" s="1" t="inlineStr">
        <is>
          <t>전월대비</t>
        </is>
      </c>
      <c r="K3" s="4" t="n">
        <v>1</v>
      </c>
      <c r="L3" s="4" t="n">
        <v>2</v>
      </c>
      <c r="M3" s="4" t="n">
        <v>3</v>
      </c>
      <c r="N3" s="4" t="n">
        <v>4</v>
      </c>
      <c r="O3" s="4" t="n">
        <v>5</v>
      </c>
      <c r="P3" s="4" t="n">
        <v>6</v>
      </c>
      <c r="Q3" s="4" t="n">
        <v>7</v>
      </c>
      <c r="R3" s="4" t="n">
        <v>8</v>
      </c>
      <c r="S3" s="4" t="n">
        <v>9</v>
      </c>
      <c r="T3" s="4" t="n">
        <v>10</v>
      </c>
      <c r="U3" s="4" t="n">
        <v>11</v>
      </c>
      <c r="V3" s="4" t="n">
        <v>12</v>
      </c>
      <c r="W3" s="4" t="n">
        <v>13</v>
      </c>
      <c r="X3" s="4" t="n">
        <v>14</v>
      </c>
      <c r="Y3" s="4" t="n">
        <v>15</v>
      </c>
      <c r="Z3" s="4" t="n">
        <v>16</v>
      </c>
      <c r="AA3" s="4" t="n">
        <v>17</v>
      </c>
      <c r="AB3" s="4" t="n">
        <v>18</v>
      </c>
      <c r="AC3" s="4" t="n">
        <v>19</v>
      </c>
      <c r="AD3" s="4" t="n">
        <v>20</v>
      </c>
      <c r="AE3" s="4" t="n">
        <v>21</v>
      </c>
      <c r="AF3" s="4" t="n">
        <v>22</v>
      </c>
      <c r="AG3" s="4" t="n">
        <v>23</v>
      </c>
      <c r="AH3" s="4" t="n">
        <v>24</v>
      </c>
      <c r="AI3" s="4" t="n">
        <v>25</v>
      </c>
      <c r="AJ3" s="4" t="n">
        <v>26</v>
      </c>
      <c r="AK3" s="4" t="n">
        <v>27</v>
      </c>
      <c r="AL3" s="4" t="n">
        <v>28</v>
      </c>
      <c r="AM3" s="4" t="n">
        <v>29</v>
      </c>
      <c r="AN3" s="4" t="n">
        <v>30</v>
      </c>
      <c r="AO3" s="4" t="n">
        <v>31</v>
      </c>
    </row>
    <row r="4">
      <c r="A4">
        <f>IFERROR(INDEX(FILTER(stores!$A$2:$A,stores!$G$2:$G="active"),ROW()-3),"")</f>
        <v/>
      </c>
      <c r="B4">
        <f>IF($A4="","",VLOOKUP($A4,stores!$A:$B,2,0))</f>
        <v/>
      </c>
      <c r="C4">
        <f>IF($A4="","",VLOOKUP($A4,stores!$A:$C,3,0))</f>
        <v/>
      </c>
      <c r="D4">
        <f>IF($A4="","",IF(DATE($C$1,$E$1,1)&gt;TODAY(),0,IFERROR(COUNTUNIQUE(FILTER(sales_logs!$C$2:$C$1000,sales_logs!$B$2:$B$1000=$A4,sales_logs!$C$2:$C$1000&gt;=DATE($C$1,$E$1,1),sales_logs!$C$2:$C$1000&lt;=MIN(TODAY(),EOMONTH(DATE($C$1,$E$1,1),0)),sales_logs!$I$2:$I$1000=FALSE))/DAY(MIN(TODAY(),EOMONTH(DATE($C$1,$E$1,1),0))),0)))</f>
        <v/>
      </c>
      <c r="E4">
        <f>IF($A4="","",IF(DATE($C$1,$E$1,1)&gt;TODAY(),0,DAY(MIN(TODAY(),EOMONTH(DATE($C$1,$E$1,1),0)))-IFERROR(COUNTUNIQUE(FILTER(sales_logs!$C$2:$C$1000,sales_logs!$B$2:$B$1000=$A4,sales_logs!$C$2:$C$1000&gt;=DATE($C$1,$E$1,1),sales_logs!$C$2:$C$1000&lt;=MIN(TODAY(),EOMONTH(DATE($C$1,$E$1,1),0)),sales_logs!$I$2:$I$1000=FALSE)),0)))</f>
        <v/>
      </c>
      <c r="F4">
        <f>IF($A4="","",COUNTIFS(sales_logs!$B:$B,$A4,sales_logs!$C:$C,"&gt;="&amp;DATE($C$1,$E$1,1),sales_logs!$C:$C,"&lt;="&amp;EOMONTH(DATE($C$1,$E$1,1),0),sales_logs!$D:$D,"휴무",sales_logs!$I:$I,FALSE))</f>
        <v/>
      </c>
      <c r="G4">
        <f>IF($A4="","",COUNTIFS(sales_logs!$B:$B,$A4,sales_logs!$C:$C,"&gt;="&amp;DATE($C$1,$E$1,1),sales_logs!$C:$C,"&lt;="&amp;EOMONTH(DATE($C$1,$E$1,1),0),sales_logs!$D:$D,"영업",sales_logs!$I:$I,FALSE))</f>
        <v/>
      </c>
      <c r="H4">
        <f>IF($A4="","",SUMIFS(sales_logs!$E:$E,sales_logs!$B:$B,$A4,sales_logs!$C:$C,"&gt;="&amp;DATE($C$1,$E$1,1),sales_logs!$C:$C,"&lt;="&amp;EOMONTH(DATE($C$1,$E$1,1),0),sales_logs!$D:$D,"영업",sales_logs!$I:$I,FALSE))</f>
        <v/>
      </c>
      <c r="I4">
        <f>IF(OR($A4="",G4=0),"",H4/G4)</f>
        <v/>
      </c>
      <c r="J4">
        <f>IF($A4="","",LET(cur_end, MIN(TODAY(),EOMONTH(DATE($C$1,$E$1,1),0)),cmp_day, DAY(cur_end),prev_start, DATE($C$1,$E$1-1,1),prev_end, MIN(DATE($C$1,$E$1-1,cmp_day),EOMONTH(DATE($C$1,$E$1-1,1),0)),cur_sales, SUMIFS(sales_logs!$E:$E,sales_logs!$B:$B,$A4,sales_logs!$C:$C,"&gt;="&amp;DATE($C$1,$E$1,1),sales_logs!$C:$C,"&lt;="&amp;cur_end,sales_logs!$D:$D,"영업",sales_logs!$I:$I,FALSE),prev_sales, SUMIFS(sales_logs!$E:$E,sales_logs!$B:$B,$A4,sales_logs!$C:$C,"&gt;="&amp;prev_start,sales_logs!$C:$C,"&lt;="&amp;prev_end,sales_logs!$D:$D,"영업",sales_logs!$I:$I,FALSE),IF(prev_sales=0,"데이터부족",(cur_sales-prev_sales)/prev_sales)))</f>
        <v/>
      </c>
      <c r="K4">
        <f>IF($A4="","",IF(MONTH(DATE($C$1,$E$1,K$3))&lt;&gt;$E$1,"---",IF(DATE($C$1,$E$1,K$3)&gt;TODAY(),"",IF(COUNTIFS(sales_logs!$B:$B,$A4,sales_logs!$C:$C,DATE($C$1,$E$1,K$3),sales_logs!$I:$I,TRUE)&gt;0,"중복확인",IF(COUNTIFS(sales_logs!$B:$B,$A4,sales_logs!$C:$C,DATE($C$1,$E$1,K$3),sales_logs!$D:$D,"휴무",sales_logs!$I:$I,FALSE)&gt;0,"휴무",IF(COUNTIFS(sales_logs!$B:$B,$A4,sales_logs!$C:$C,DATE($C$1,$E$1,K$3),sales_logs!$I:$I,FALSE)=0,"미입력",SUMIFS(sales_logs!$E:$E,sales_logs!$B:$B,$A4,sales_logs!$C:$C,DATE($C$1,$E$1,K$3),sales_logs!$D:$D,"영업",sales_logs!$I:$I,FALSE)))))))</f>
        <v/>
      </c>
      <c r="L4">
        <f>IF($A4="","",IF(MONTH(DATE($C$1,$E$1,L$3))&lt;&gt;$E$1,"---",IF(DATE($C$1,$E$1,L$3)&gt;TODAY(),"",IF(COUNTIFS(sales_logs!$B:$B,$A4,sales_logs!$C:$C,DATE($C$1,$E$1,L$3),sales_logs!$I:$I,TRUE)&gt;0,"중복확인",IF(COUNTIFS(sales_logs!$B:$B,$A4,sales_logs!$C:$C,DATE($C$1,$E$1,L$3),sales_logs!$D:$D,"휴무",sales_logs!$I:$I,FALSE)&gt;0,"휴무",IF(COUNTIFS(sales_logs!$B:$B,$A4,sales_logs!$C:$C,DATE($C$1,$E$1,L$3),sales_logs!$I:$I,FALSE)=0,"미입력",SUMIFS(sales_logs!$E:$E,sales_logs!$B:$B,$A4,sales_logs!$C:$C,DATE($C$1,$E$1,L$3),sales_logs!$D:$D,"영업",sales_logs!$I:$I,FALSE)))))))</f>
        <v/>
      </c>
      <c r="M4">
        <f>IF($A4="","",IF(MONTH(DATE($C$1,$E$1,M$3))&lt;&gt;$E$1,"---",IF(DATE($C$1,$E$1,M$3)&gt;TODAY(),"",IF(COUNTIFS(sales_logs!$B:$B,$A4,sales_logs!$C:$C,DATE($C$1,$E$1,M$3),sales_logs!$I:$I,TRUE)&gt;0,"중복확인",IF(COUNTIFS(sales_logs!$B:$B,$A4,sales_logs!$C:$C,DATE($C$1,$E$1,M$3),sales_logs!$D:$D,"휴무",sales_logs!$I:$I,FALSE)&gt;0,"휴무",IF(COUNTIFS(sales_logs!$B:$B,$A4,sales_logs!$C:$C,DATE($C$1,$E$1,M$3),sales_logs!$I:$I,FALSE)=0,"미입력",SUMIFS(sales_logs!$E:$E,sales_logs!$B:$B,$A4,sales_logs!$C:$C,DATE($C$1,$E$1,M$3),sales_logs!$D:$D,"영업",sales_logs!$I:$I,FALSE)))))))</f>
        <v/>
      </c>
      <c r="N4">
        <f>IF($A4="","",IF(MONTH(DATE($C$1,$E$1,N$3))&lt;&gt;$E$1,"---",IF(DATE($C$1,$E$1,N$3)&gt;TODAY(),"",IF(COUNTIFS(sales_logs!$B:$B,$A4,sales_logs!$C:$C,DATE($C$1,$E$1,N$3),sales_logs!$I:$I,TRUE)&gt;0,"중복확인",IF(COUNTIFS(sales_logs!$B:$B,$A4,sales_logs!$C:$C,DATE($C$1,$E$1,N$3),sales_logs!$D:$D,"휴무",sales_logs!$I:$I,FALSE)&gt;0,"휴무",IF(COUNTIFS(sales_logs!$B:$B,$A4,sales_logs!$C:$C,DATE($C$1,$E$1,N$3),sales_logs!$I:$I,FALSE)=0,"미입력",SUMIFS(sales_logs!$E:$E,sales_logs!$B:$B,$A4,sales_logs!$C:$C,DATE($C$1,$E$1,N$3),sales_logs!$D:$D,"영업",sales_logs!$I:$I,FALSE)))))))</f>
        <v/>
      </c>
      <c r="O4">
        <f>IF($A4="","",IF(MONTH(DATE($C$1,$E$1,O$3))&lt;&gt;$E$1,"---",IF(DATE($C$1,$E$1,O$3)&gt;TODAY(),"",IF(COUNTIFS(sales_logs!$B:$B,$A4,sales_logs!$C:$C,DATE($C$1,$E$1,O$3),sales_logs!$I:$I,TRUE)&gt;0,"중복확인",IF(COUNTIFS(sales_logs!$B:$B,$A4,sales_logs!$C:$C,DATE($C$1,$E$1,O$3),sales_logs!$D:$D,"휴무",sales_logs!$I:$I,FALSE)&gt;0,"휴무",IF(COUNTIFS(sales_logs!$B:$B,$A4,sales_logs!$C:$C,DATE($C$1,$E$1,O$3),sales_logs!$I:$I,FALSE)=0,"미입력",SUMIFS(sales_logs!$E:$E,sales_logs!$B:$B,$A4,sales_logs!$C:$C,DATE($C$1,$E$1,O$3),sales_logs!$D:$D,"영업",sales_logs!$I:$I,FALSE)))))))</f>
        <v/>
      </c>
      <c r="P4">
        <f>IF($A4="","",IF(MONTH(DATE($C$1,$E$1,P$3))&lt;&gt;$E$1,"---",IF(DATE($C$1,$E$1,P$3)&gt;TODAY(),"",IF(COUNTIFS(sales_logs!$B:$B,$A4,sales_logs!$C:$C,DATE($C$1,$E$1,P$3),sales_logs!$I:$I,TRUE)&gt;0,"중복확인",IF(COUNTIFS(sales_logs!$B:$B,$A4,sales_logs!$C:$C,DATE($C$1,$E$1,P$3),sales_logs!$D:$D,"휴무",sales_logs!$I:$I,FALSE)&gt;0,"휴무",IF(COUNTIFS(sales_logs!$B:$B,$A4,sales_logs!$C:$C,DATE($C$1,$E$1,P$3),sales_logs!$I:$I,FALSE)=0,"미입력",SUMIFS(sales_logs!$E:$E,sales_logs!$B:$B,$A4,sales_logs!$C:$C,DATE($C$1,$E$1,P$3),sales_logs!$D:$D,"영업",sales_logs!$I:$I,FALSE)))))))</f>
        <v/>
      </c>
      <c r="Q4">
        <f>IF($A4="","",IF(MONTH(DATE($C$1,$E$1,Q$3))&lt;&gt;$E$1,"---",IF(DATE($C$1,$E$1,Q$3)&gt;TODAY(),"",IF(COUNTIFS(sales_logs!$B:$B,$A4,sales_logs!$C:$C,DATE($C$1,$E$1,Q$3),sales_logs!$I:$I,TRUE)&gt;0,"중복확인",IF(COUNTIFS(sales_logs!$B:$B,$A4,sales_logs!$C:$C,DATE($C$1,$E$1,Q$3),sales_logs!$D:$D,"휴무",sales_logs!$I:$I,FALSE)&gt;0,"휴무",IF(COUNTIFS(sales_logs!$B:$B,$A4,sales_logs!$C:$C,DATE($C$1,$E$1,Q$3),sales_logs!$I:$I,FALSE)=0,"미입력",SUMIFS(sales_logs!$E:$E,sales_logs!$B:$B,$A4,sales_logs!$C:$C,DATE($C$1,$E$1,Q$3),sales_logs!$D:$D,"영업",sales_logs!$I:$I,FALSE)))))))</f>
        <v/>
      </c>
      <c r="R4">
        <f>IF($A4="","",IF(MONTH(DATE($C$1,$E$1,R$3))&lt;&gt;$E$1,"---",IF(DATE($C$1,$E$1,R$3)&gt;TODAY(),"",IF(COUNTIFS(sales_logs!$B:$B,$A4,sales_logs!$C:$C,DATE($C$1,$E$1,R$3),sales_logs!$I:$I,TRUE)&gt;0,"중복확인",IF(COUNTIFS(sales_logs!$B:$B,$A4,sales_logs!$C:$C,DATE($C$1,$E$1,R$3),sales_logs!$D:$D,"휴무",sales_logs!$I:$I,FALSE)&gt;0,"휴무",IF(COUNTIFS(sales_logs!$B:$B,$A4,sales_logs!$C:$C,DATE($C$1,$E$1,R$3),sales_logs!$I:$I,FALSE)=0,"미입력",SUMIFS(sales_logs!$E:$E,sales_logs!$B:$B,$A4,sales_logs!$C:$C,DATE($C$1,$E$1,R$3),sales_logs!$D:$D,"영업",sales_logs!$I:$I,FALSE)))))))</f>
        <v/>
      </c>
      <c r="S4">
        <f>IF($A4="","",IF(MONTH(DATE($C$1,$E$1,S$3))&lt;&gt;$E$1,"---",IF(DATE($C$1,$E$1,S$3)&gt;TODAY(),"",IF(COUNTIFS(sales_logs!$B:$B,$A4,sales_logs!$C:$C,DATE($C$1,$E$1,S$3),sales_logs!$I:$I,TRUE)&gt;0,"중복확인",IF(COUNTIFS(sales_logs!$B:$B,$A4,sales_logs!$C:$C,DATE($C$1,$E$1,S$3),sales_logs!$D:$D,"휴무",sales_logs!$I:$I,FALSE)&gt;0,"휴무",IF(COUNTIFS(sales_logs!$B:$B,$A4,sales_logs!$C:$C,DATE($C$1,$E$1,S$3),sales_logs!$I:$I,FALSE)=0,"미입력",SUMIFS(sales_logs!$E:$E,sales_logs!$B:$B,$A4,sales_logs!$C:$C,DATE($C$1,$E$1,S$3),sales_logs!$D:$D,"영업",sales_logs!$I:$I,FALSE)))))))</f>
        <v/>
      </c>
      <c r="T4">
        <f>IF($A4="","",IF(MONTH(DATE($C$1,$E$1,T$3))&lt;&gt;$E$1,"---",IF(DATE($C$1,$E$1,T$3)&gt;TODAY(),"",IF(COUNTIFS(sales_logs!$B:$B,$A4,sales_logs!$C:$C,DATE($C$1,$E$1,T$3),sales_logs!$I:$I,TRUE)&gt;0,"중복확인",IF(COUNTIFS(sales_logs!$B:$B,$A4,sales_logs!$C:$C,DATE($C$1,$E$1,T$3),sales_logs!$D:$D,"휴무",sales_logs!$I:$I,FALSE)&gt;0,"휴무",IF(COUNTIFS(sales_logs!$B:$B,$A4,sales_logs!$C:$C,DATE($C$1,$E$1,T$3),sales_logs!$I:$I,FALSE)=0,"미입력",SUMIFS(sales_logs!$E:$E,sales_logs!$B:$B,$A4,sales_logs!$C:$C,DATE($C$1,$E$1,T$3),sales_logs!$D:$D,"영업",sales_logs!$I:$I,FALSE)))))))</f>
        <v/>
      </c>
      <c r="U4">
        <f>IF($A4="","",IF(MONTH(DATE($C$1,$E$1,U$3))&lt;&gt;$E$1,"---",IF(DATE($C$1,$E$1,U$3)&gt;TODAY(),"",IF(COUNTIFS(sales_logs!$B:$B,$A4,sales_logs!$C:$C,DATE($C$1,$E$1,U$3),sales_logs!$I:$I,TRUE)&gt;0,"중복확인",IF(COUNTIFS(sales_logs!$B:$B,$A4,sales_logs!$C:$C,DATE($C$1,$E$1,U$3),sales_logs!$D:$D,"휴무",sales_logs!$I:$I,FALSE)&gt;0,"휴무",IF(COUNTIFS(sales_logs!$B:$B,$A4,sales_logs!$C:$C,DATE($C$1,$E$1,U$3),sales_logs!$I:$I,FALSE)=0,"미입력",SUMIFS(sales_logs!$E:$E,sales_logs!$B:$B,$A4,sales_logs!$C:$C,DATE($C$1,$E$1,U$3),sales_logs!$D:$D,"영업",sales_logs!$I:$I,FALSE)))))))</f>
        <v/>
      </c>
      <c r="V4">
        <f>IF($A4="","",IF(MONTH(DATE($C$1,$E$1,V$3))&lt;&gt;$E$1,"---",IF(DATE($C$1,$E$1,V$3)&gt;TODAY(),"",IF(COUNTIFS(sales_logs!$B:$B,$A4,sales_logs!$C:$C,DATE($C$1,$E$1,V$3),sales_logs!$I:$I,TRUE)&gt;0,"중복확인",IF(COUNTIFS(sales_logs!$B:$B,$A4,sales_logs!$C:$C,DATE($C$1,$E$1,V$3),sales_logs!$D:$D,"휴무",sales_logs!$I:$I,FALSE)&gt;0,"휴무",IF(COUNTIFS(sales_logs!$B:$B,$A4,sales_logs!$C:$C,DATE($C$1,$E$1,V$3),sales_logs!$I:$I,FALSE)=0,"미입력",SUMIFS(sales_logs!$E:$E,sales_logs!$B:$B,$A4,sales_logs!$C:$C,DATE($C$1,$E$1,V$3),sales_logs!$D:$D,"영업",sales_logs!$I:$I,FALSE)))))))</f>
        <v/>
      </c>
      <c r="W4">
        <f>IF($A4="","",IF(MONTH(DATE($C$1,$E$1,W$3))&lt;&gt;$E$1,"---",IF(DATE($C$1,$E$1,W$3)&gt;TODAY(),"",IF(COUNTIFS(sales_logs!$B:$B,$A4,sales_logs!$C:$C,DATE($C$1,$E$1,W$3),sales_logs!$I:$I,TRUE)&gt;0,"중복확인",IF(COUNTIFS(sales_logs!$B:$B,$A4,sales_logs!$C:$C,DATE($C$1,$E$1,W$3),sales_logs!$D:$D,"휴무",sales_logs!$I:$I,FALSE)&gt;0,"휴무",IF(COUNTIFS(sales_logs!$B:$B,$A4,sales_logs!$C:$C,DATE($C$1,$E$1,W$3),sales_logs!$I:$I,FALSE)=0,"미입력",SUMIFS(sales_logs!$E:$E,sales_logs!$B:$B,$A4,sales_logs!$C:$C,DATE($C$1,$E$1,W$3),sales_logs!$D:$D,"영업",sales_logs!$I:$I,FALSE)))))))</f>
        <v/>
      </c>
      <c r="X4">
        <f>IF($A4="","",IF(MONTH(DATE($C$1,$E$1,X$3))&lt;&gt;$E$1,"---",IF(DATE($C$1,$E$1,X$3)&gt;TODAY(),"",IF(COUNTIFS(sales_logs!$B:$B,$A4,sales_logs!$C:$C,DATE($C$1,$E$1,X$3),sales_logs!$I:$I,TRUE)&gt;0,"중복확인",IF(COUNTIFS(sales_logs!$B:$B,$A4,sales_logs!$C:$C,DATE($C$1,$E$1,X$3),sales_logs!$D:$D,"휴무",sales_logs!$I:$I,FALSE)&gt;0,"휴무",IF(COUNTIFS(sales_logs!$B:$B,$A4,sales_logs!$C:$C,DATE($C$1,$E$1,X$3),sales_logs!$I:$I,FALSE)=0,"미입력",SUMIFS(sales_logs!$E:$E,sales_logs!$B:$B,$A4,sales_logs!$C:$C,DATE($C$1,$E$1,X$3),sales_logs!$D:$D,"영업",sales_logs!$I:$I,FALSE)))))))</f>
        <v/>
      </c>
      <c r="Y4">
        <f>IF($A4="","",IF(MONTH(DATE($C$1,$E$1,Y$3))&lt;&gt;$E$1,"---",IF(DATE($C$1,$E$1,Y$3)&gt;TODAY(),"",IF(COUNTIFS(sales_logs!$B:$B,$A4,sales_logs!$C:$C,DATE($C$1,$E$1,Y$3),sales_logs!$I:$I,TRUE)&gt;0,"중복확인",IF(COUNTIFS(sales_logs!$B:$B,$A4,sales_logs!$C:$C,DATE($C$1,$E$1,Y$3),sales_logs!$D:$D,"휴무",sales_logs!$I:$I,FALSE)&gt;0,"휴무",IF(COUNTIFS(sales_logs!$B:$B,$A4,sales_logs!$C:$C,DATE($C$1,$E$1,Y$3),sales_logs!$I:$I,FALSE)=0,"미입력",SUMIFS(sales_logs!$E:$E,sales_logs!$B:$B,$A4,sales_logs!$C:$C,DATE($C$1,$E$1,Y$3),sales_logs!$D:$D,"영업",sales_logs!$I:$I,FALSE)))))))</f>
        <v/>
      </c>
      <c r="Z4">
        <f>IF($A4="","",IF(MONTH(DATE($C$1,$E$1,Z$3))&lt;&gt;$E$1,"---",IF(DATE($C$1,$E$1,Z$3)&gt;TODAY(),"",IF(COUNTIFS(sales_logs!$B:$B,$A4,sales_logs!$C:$C,DATE($C$1,$E$1,Z$3),sales_logs!$I:$I,TRUE)&gt;0,"중복확인",IF(COUNTIFS(sales_logs!$B:$B,$A4,sales_logs!$C:$C,DATE($C$1,$E$1,Z$3),sales_logs!$D:$D,"휴무",sales_logs!$I:$I,FALSE)&gt;0,"휴무",IF(COUNTIFS(sales_logs!$B:$B,$A4,sales_logs!$C:$C,DATE($C$1,$E$1,Z$3),sales_logs!$I:$I,FALSE)=0,"미입력",SUMIFS(sales_logs!$E:$E,sales_logs!$B:$B,$A4,sales_logs!$C:$C,DATE($C$1,$E$1,Z$3),sales_logs!$D:$D,"영업",sales_logs!$I:$I,FALSE)))))))</f>
        <v/>
      </c>
      <c r="AA4">
        <f>IF($A4="","",IF(MONTH(DATE($C$1,$E$1,AA$3))&lt;&gt;$E$1,"---",IF(DATE($C$1,$E$1,AA$3)&gt;TODAY(),"",IF(COUNTIFS(sales_logs!$B:$B,$A4,sales_logs!$C:$C,DATE($C$1,$E$1,AA$3),sales_logs!$I:$I,TRUE)&gt;0,"중복확인",IF(COUNTIFS(sales_logs!$B:$B,$A4,sales_logs!$C:$C,DATE($C$1,$E$1,AA$3),sales_logs!$D:$D,"휴무",sales_logs!$I:$I,FALSE)&gt;0,"휴무",IF(COUNTIFS(sales_logs!$B:$B,$A4,sales_logs!$C:$C,DATE($C$1,$E$1,AA$3),sales_logs!$I:$I,FALSE)=0,"미입력",SUMIFS(sales_logs!$E:$E,sales_logs!$B:$B,$A4,sales_logs!$C:$C,DATE($C$1,$E$1,AA$3),sales_logs!$D:$D,"영업",sales_logs!$I:$I,FALSE)))))))</f>
        <v/>
      </c>
      <c r="AB4">
        <f>IF($A4="","",IF(MONTH(DATE($C$1,$E$1,AB$3))&lt;&gt;$E$1,"---",IF(DATE($C$1,$E$1,AB$3)&gt;TODAY(),"",IF(COUNTIFS(sales_logs!$B:$B,$A4,sales_logs!$C:$C,DATE($C$1,$E$1,AB$3),sales_logs!$I:$I,TRUE)&gt;0,"중복확인",IF(COUNTIFS(sales_logs!$B:$B,$A4,sales_logs!$C:$C,DATE($C$1,$E$1,AB$3),sales_logs!$D:$D,"휴무",sales_logs!$I:$I,FALSE)&gt;0,"휴무",IF(COUNTIFS(sales_logs!$B:$B,$A4,sales_logs!$C:$C,DATE($C$1,$E$1,AB$3),sales_logs!$I:$I,FALSE)=0,"미입력",SUMIFS(sales_logs!$E:$E,sales_logs!$B:$B,$A4,sales_logs!$C:$C,DATE($C$1,$E$1,AB$3),sales_logs!$D:$D,"영업",sales_logs!$I:$I,FALSE)))))))</f>
        <v/>
      </c>
      <c r="AC4">
        <f>IF($A4="","",IF(MONTH(DATE($C$1,$E$1,AC$3))&lt;&gt;$E$1,"---",IF(DATE($C$1,$E$1,AC$3)&gt;TODAY(),"",IF(COUNTIFS(sales_logs!$B:$B,$A4,sales_logs!$C:$C,DATE($C$1,$E$1,AC$3),sales_logs!$I:$I,TRUE)&gt;0,"중복확인",IF(COUNTIFS(sales_logs!$B:$B,$A4,sales_logs!$C:$C,DATE($C$1,$E$1,AC$3),sales_logs!$D:$D,"휴무",sales_logs!$I:$I,FALSE)&gt;0,"휴무",IF(COUNTIFS(sales_logs!$B:$B,$A4,sales_logs!$C:$C,DATE($C$1,$E$1,AC$3),sales_logs!$I:$I,FALSE)=0,"미입력",SUMIFS(sales_logs!$E:$E,sales_logs!$B:$B,$A4,sales_logs!$C:$C,DATE($C$1,$E$1,AC$3),sales_logs!$D:$D,"영업",sales_logs!$I:$I,FALSE)))))))</f>
        <v/>
      </c>
      <c r="AD4">
        <f>IF($A4="","",IF(MONTH(DATE($C$1,$E$1,AD$3))&lt;&gt;$E$1,"---",IF(DATE($C$1,$E$1,AD$3)&gt;TODAY(),"",IF(COUNTIFS(sales_logs!$B:$B,$A4,sales_logs!$C:$C,DATE($C$1,$E$1,AD$3),sales_logs!$I:$I,TRUE)&gt;0,"중복확인",IF(COUNTIFS(sales_logs!$B:$B,$A4,sales_logs!$C:$C,DATE($C$1,$E$1,AD$3),sales_logs!$D:$D,"휴무",sales_logs!$I:$I,FALSE)&gt;0,"휴무",IF(COUNTIFS(sales_logs!$B:$B,$A4,sales_logs!$C:$C,DATE($C$1,$E$1,AD$3),sales_logs!$I:$I,FALSE)=0,"미입력",SUMIFS(sales_logs!$E:$E,sales_logs!$B:$B,$A4,sales_logs!$C:$C,DATE($C$1,$E$1,AD$3),sales_logs!$D:$D,"영업",sales_logs!$I:$I,FALSE)))))))</f>
        <v/>
      </c>
      <c r="AE4">
        <f>IF($A4="","",IF(MONTH(DATE($C$1,$E$1,AE$3))&lt;&gt;$E$1,"---",IF(DATE($C$1,$E$1,AE$3)&gt;TODAY(),"",IF(COUNTIFS(sales_logs!$B:$B,$A4,sales_logs!$C:$C,DATE($C$1,$E$1,AE$3),sales_logs!$I:$I,TRUE)&gt;0,"중복확인",IF(COUNTIFS(sales_logs!$B:$B,$A4,sales_logs!$C:$C,DATE($C$1,$E$1,AE$3),sales_logs!$D:$D,"휴무",sales_logs!$I:$I,FALSE)&gt;0,"휴무",IF(COUNTIFS(sales_logs!$B:$B,$A4,sales_logs!$C:$C,DATE($C$1,$E$1,AE$3),sales_logs!$I:$I,FALSE)=0,"미입력",SUMIFS(sales_logs!$E:$E,sales_logs!$B:$B,$A4,sales_logs!$C:$C,DATE($C$1,$E$1,AE$3),sales_logs!$D:$D,"영업",sales_logs!$I:$I,FALSE)))))))</f>
        <v/>
      </c>
      <c r="AF4">
        <f>IF($A4="","",IF(MONTH(DATE($C$1,$E$1,AF$3))&lt;&gt;$E$1,"---",IF(DATE($C$1,$E$1,AF$3)&gt;TODAY(),"",IF(COUNTIFS(sales_logs!$B:$B,$A4,sales_logs!$C:$C,DATE($C$1,$E$1,AF$3),sales_logs!$I:$I,TRUE)&gt;0,"중복확인",IF(COUNTIFS(sales_logs!$B:$B,$A4,sales_logs!$C:$C,DATE($C$1,$E$1,AF$3),sales_logs!$D:$D,"휴무",sales_logs!$I:$I,FALSE)&gt;0,"휴무",IF(COUNTIFS(sales_logs!$B:$B,$A4,sales_logs!$C:$C,DATE($C$1,$E$1,AF$3),sales_logs!$I:$I,FALSE)=0,"미입력",SUMIFS(sales_logs!$E:$E,sales_logs!$B:$B,$A4,sales_logs!$C:$C,DATE($C$1,$E$1,AF$3),sales_logs!$D:$D,"영업",sales_logs!$I:$I,FALSE)))))))</f>
        <v/>
      </c>
      <c r="AG4">
        <f>IF($A4="","",IF(MONTH(DATE($C$1,$E$1,AG$3))&lt;&gt;$E$1,"---",IF(DATE($C$1,$E$1,AG$3)&gt;TODAY(),"",IF(COUNTIFS(sales_logs!$B:$B,$A4,sales_logs!$C:$C,DATE($C$1,$E$1,AG$3),sales_logs!$I:$I,TRUE)&gt;0,"중복확인",IF(COUNTIFS(sales_logs!$B:$B,$A4,sales_logs!$C:$C,DATE($C$1,$E$1,AG$3),sales_logs!$D:$D,"휴무",sales_logs!$I:$I,FALSE)&gt;0,"휴무",IF(COUNTIFS(sales_logs!$B:$B,$A4,sales_logs!$C:$C,DATE($C$1,$E$1,AG$3),sales_logs!$I:$I,FALSE)=0,"미입력",SUMIFS(sales_logs!$E:$E,sales_logs!$B:$B,$A4,sales_logs!$C:$C,DATE($C$1,$E$1,AG$3),sales_logs!$D:$D,"영업",sales_logs!$I:$I,FALSE)))))))</f>
        <v/>
      </c>
      <c r="AH4">
        <f>IF($A4="","",IF(MONTH(DATE($C$1,$E$1,AH$3))&lt;&gt;$E$1,"---",IF(DATE($C$1,$E$1,AH$3)&gt;TODAY(),"",IF(COUNTIFS(sales_logs!$B:$B,$A4,sales_logs!$C:$C,DATE($C$1,$E$1,AH$3),sales_logs!$I:$I,TRUE)&gt;0,"중복확인",IF(COUNTIFS(sales_logs!$B:$B,$A4,sales_logs!$C:$C,DATE($C$1,$E$1,AH$3),sales_logs!$D:$D,"휴무",sales_logs!$I:$I,FALSE)&gt;0,"휴무",IF(COUNTIFS(sales_logs!$B:$B,$A4,sales_logs!$C:$C,DATE($C$1,$E$1,AH$3),sales_logs!$I:$I,FALSE)=0,"미입력",SUMIFS(sales_logs!$E:$E,sales_logs!$B:$B,$A4,sales_logs!$C:$C,DATE($C$1,$E$1,AH$3),sales_logs!$D:$D,"영업",sales_logs!$I:$I,FALSE)))))))</f>
        <v/>
      </c>
      <c r="AI4">
        <f>IF($A4="","",IF(MONTH(DATE($C$1,$E$1,AI$3))&lt;&gt;$E$1,"---",IF(DATE($C$1,$E$1,AI$3)&gt;TODAY(),"",IF(COUNTIFS(sales_logs!$B:$B,$A4,sales_logs!$C:$C,DATE($C$1,$E$1,AI$3),sales_logs!$I:$I,TRUE)&gt;0,"중복확인",IF(COUNTIFS(sales_logs!$B:$B,$A4,sales_logs!$C:$C,DATE($C$1,$E$1,AI$3),sales_logs!$D:$D,"휴무",sales_logs!$I:$I,FALSE)&gt;0,"휴무",IF(COUNTIFS(sales_logs!$B:$B,$A4,sales_logs!$C:$C,DATE($C$1,$E$1,AI$3),sales_logs!$I:$I,FALSE)=0,"미입력",SUMIFS(sales_logs!$E:$E,sales_logs!$B:$B,$A4,sales_logs!$C:$C,DATE($C$1,$E$1,AI$3),sales_logs!$D:$D,"영업",sales_logs!$I:$I,FALSE)))))))</f>
        <v/>
      </c>
      <c r="AJ4">
        <f>IF($A4="","",IF(MONTH(DATE($C$1,$E$1,AJ$3))&lt;&gt;$E$1,"---",IF(DATE($C$1,$E$1,AJ$3)&gt;TODAY(),"",IF(COUNTIFS(sales_logs!$B:$B,$A4,sales_logs!$C:$C,DATE($C$1,$E$1,AJ$3),sales_logs!$I:$I,TRUE)&gt;0,"중복확인",IF(COUNTIFS(sales_logs!$B:$B,$A4,sales_logs!$C:$C,DATE($C$1,$E$1,AJ$3),sales_logs!$D:$D,"휴무",sales_logs!$I:$I,FALSE)&gt;0,"휴무",IF(COUNTIFS(sales_logs!$B:$B,$A4,sales_logs!$C:$C,DATE($C$1,$E$1,AJ$3),sales_logs!$I:$I,FALSE)=0,"미입력",SUMIFS(sales_logs!$E:$E,sales_logs!$B:$B,$A4,sales_logs!$C:$C,DATE($C$1,$E$1,AJ$3),sales_logs!$D:$D,"영업",sales_logs!$I:$I,FALSE)))))))</f>
        <v/>
      </c>
      <c r="AK4">
        <f>IF($A4="","",IF(MONTH(DATE($C$1,$E$1,AK$3))&lt;&gt;$E$1,"---",IF(DATE($C$1,$E$1,AK$3)&gt;TODAY(),"",IF(COUNTIFS(sales_logs!$B:$B,$A4,sales_logs!$C:$C,DATE($C$1,$E$1,AK$3),sales_logs!$I:$I,TRUE)&gt;0,"중복확인",IF(COUNTIFS(sales_logs!$B:$B,$A4,sales_logs!$C:$C,DATE($C$1,$E$1,AK$3),sales_logs!$D:$D,"휴무",sales_logs!$I:$I,FALSE)&gt;0,"휴무",IF(COUNTIFS(sales_logs!$B:$B,$A4,sales_logs!$C:$C,DATE($C$1,$E$1,AK$3),sales_logs!$I:$I,FALSE)=0,"미입력",SUMIFS(sales_logs!$E:$E,sales_logs!$B:$B,$A4,sales_logs!$C:$C,DATE($C$1,$E$1,AK$3),sales_logs!$D:$D,"영업",sales_logs!$I:$I,FALSE)))))))</f>
        <v/>
      </c>
      <c r="AL4">
        <f>IF($A4="","",IF(MONTH(DATE($C$1,$E$1,AL$3))&lt;&gt;$E$1,"---",IF(DATE($C$1,$E$1,AL$3)&gt;TODAY(),"",IF(COUNTIFS(sales_logs!$B:$B,$A4,sales_logs!$C:$C,DATE($C$1,$E$1,AL$3),sales_logs!$I:$I,TRUE)&gt;0,"중복확인",IF(COUNTIFS(sales_logs!$B:$B,$A4,sales_logs!$C:$C,DATE($C$1,$E$1,AL$3),sales_logs!$D:$D,"휴무",sales_logs!$I:$I,FALSE)&gt;0,"휴무",IF(COUNTIFS(sales_logs!$B:$B,$A4,sales_logs!$C:$C,DATE($C$1,$E$1,AL$3),sales_logs!$I:$I,FALSE)=0,"미입력",SUMIFS(sales_logs!$E:$E,sales_logs!$B:$B,$A4,sales_logs!$C:$C,DATE($C$1,$E$1,AL$3),sales_logs!$D:$D,"영업",sales_logs!$I:$I,FALSE)))))))</f>
        <v/>
      </c>
      <c r="AM4">
        <f>IF($A4="","",IF(MONTH(DATE($C$1,$E$1,AM$3))&lt;&gt;$E$1,"---",IF(DATE($C$1,$E$1,AM$3)&gt;TODAY(),"",IF(COUNTIFS(sales_logs!$B:$B,$A4,sales_logs!$C:$C,DATE($C$1,$E$1,AM$3),sales_logs!$I:$I,TRUE)&gt;0,"중복확인",IF(COUNTIFS(sales_logs!$B:$B,$A4,sales_logs!$C:$C,DATE($C$1,$E$1,AM$3),sales_logs!$D:$D,"휴무",sales_logs!$I:$I,FALSE)&gt;0,"휴무",IF(COUNTIFS(sales_logs!$B:$B,$A4,sales_logs!$C:$C,DATE($C$1,$E$1,AM$3),sales_logs!$I:$I,FALSE)=0,"미입력",SUMIFS(sales_logs!$E:$E,sales_logs!$B:$B,$A4,sales_logs!$C:$C,DATE($C$1,$E$1,AM$3),sales_logs!$D:$D,"영업",sales_logs!$I:$I,FALSE)))))))</f>
        <v/>
      </c>
      <c r="AN4">
        <f>IF($A4="","",IF(MONTH(DATE($C$1,$E$1,AN$3))&lt;&gt;$E$1,"---",IF(DATE($C$1,$E$1,AN$3)&gt;TODAY(),"",IF(COUNTIFS(sales_logs!$B:$B,$A4,sales_logs!$C:$C,DATE($C$1,$E$1,AN$3),sales_logs!$I:$I,TRUE)&gt;0,"중복확인",IF(COUNTIFS(sales_logs!$B:$B,$A4,sales_logs!$C:$C,DATE($C$1,$E$1,AN$3),sales_logs!$D:$D,"휴무",sales_logs!$I:$I,FALSE)&gt;0,"휴무",IF(COUNTIFS(sales_logs!$B:$B,$A4,sales_logs!$C:$C,DATE($C$1,$E$1,AN$3),sales_logs!$I:$I,FALSE)=0,"미입력",SUMIFS(sales_logs!$E:$E,sales_logs!$B:$B,$A4,sales_logs!$C:$C,DATE($C$1,$E$1,AN$3),sales_logs!$D:$D,"영업",sales_logs!$I:$I,FALSE)))))))</f>
        <v/>
      </c>
      <c r="AO4">
        <f>IF($A4="","",IF(MONTH(DATE($C$1,$E$1,AO$3))&lt;&gt;$E$1,"---",IF(DATE($C$1,$E$1,AO$3)&gt;TODAY(),"",IF(COUNTIFS(sales_logs!$B:$B,$A4,sales_logs!$C:$C,DATE($C$1,$E$1,AO$3),sales_logs!$I:$I,TRUE)&gt;0,"중복확인",IF(COUNTIFS(sales_logs!$B:$B,$A4,sales_logs!$C:$C,DATE($C$1,$E$1,AO$3),sales_logs!$D:$D,"휴무",sales_logs!$I:$I,FALSE)&gt;0,"휴무",IF(COUNTIFS(sales_logs!$B:$B,$A4,sales_logs!$C:$C,DATE($C$1,$E$1,AO$3),sales_logs!$I:$I,FALSE)=0,"미입력",SUMIFS(sales_logs!$E:$E,sales_logs!$B:$B,$A4,sales_logs!$C:$C,DATE($C$1,$E$1,AO$3),sales_logs!$D:$D,"영업",sales_logs!$I:$I,FALSE)))))))</f>
        <v/>
      </c>
    </row>
    <row r="5">
      <c r="A5">
        <f>IFERROR(INDEX(FILTER(stores!$A$2:$A,stores!$G$2:$G="active"),ROW()-3),"")</f>
        <v/>
      </c>
      <c r="B5">
        <f>IF($A5="","",VLOOKUP($A5,stores!$A:$B,2,0))</f>
        <v/>
      </c>
      <c r="C5">
        <f>IF($A5="","",VLOOKUP($A5,stores!$A:$C,3,0))</f>
        <v/>
      </c>
      <c r="D5">
        <f>IF($A5="","",IF(DATE($C$1,$E$1,1)&gt;TODAY(),0,IFERROR(COUNTUNIQUE(FILTER(sales_logs!$C$2:$C$1000,sales_logs!$B$2:$B$1000=$A5,sales_logs!$C$2:$C$1000&gt;=DATE($C$1,$E$1,1),sales_logs!$C$2:$C$1000&lt;=MIN(TODAY(),EOMONTH(DATE($C$1,$E$1,1),0)),sales_logs!$I$2:$I$1000=FALSE))/DAY(MIN(TODAY(),EOMONTH(DATE($C$1,$E$1,1),0))),0)))</f>
        <v/>
      </c>
      <c r="E5">
        <f>IF($A5="","",IF(DATE($C$1,$E$1,1)&gt;TODAY(),0,DAY(MIN(TODAY(),EOMONTH(DATE($C$1,$E$1,1),0)))-IFERROR(COUNTUNIQUE(FILTER(sales_logs!$C$2:$C$1000,sales_logs!$B$2:$B$1000=$A5,sales_logs!$C$2:$C$1000&gt;=DATE($C$1,$E$1,1),sales_logs!$C$2:$C$1000&lt;=MIN(TODAY(),EOMONTH(DATE($C$1,$E$1,1),0)),sales_logs!$I$2:$I$1000=FALSE)),0)))</f>
        <v/>
      </c>
      <c r="F5">
        <f>IF($A5="","",COUNTIFS(sales_logs!$B:$B,$A5,sales_logs!$C:$C,"&gt;="&amp;DATE($C$1,$E$1,1),sales_logs!$C:$C,"&lt;="&amp;EOMONTH(DATE($C$1,$E$1,1),0),sales_logs!$D:$D,"휴무",sales_logs!$I:$I,FALSE))</f>
        <v/>
      </c>
      <c r="G5">
        <f>IF($A5="","",COUNTIFS(sales_logs!$B:$B,$A5,sales_logs!$C:$C,"&gt;="&amp;DATE($C$1,$E$1,1),sales_logs!$C:$C,"&lt;="&amp;EOMONTH(DATE($C$1,$E$1,1),0),sales_logs!$D:$D,"영업",sales_logs!$I:$I,FALSE))</f>
        <v/>
      </c>
      <c r="H5">
        <f>IF($A5="","",SUMIFS(sales_logs!$E:$E,sales_logs!$B:$B,$A5,sales_logs!$C:$C,"&gt;="&amp;DATE($C$1,$E$1,1),sales_logs!$C:$C,"&lt;="&amp;EOMONTH(DATE($C$1,$E$1,1),0),sales_logs!$D:$D,"영업",sales_logs!$I:$I,FALSE))</f>
        <v/>
      </c>
      <c r="I5">
        <f>IF(OR($A5="",G5=0),"",H5/G5)</f>
        <v/>
      </c>
      <c r="J5">
        <f>IF($A5="","",LET(cur_end, MIN(TODAY(),EOMONTH(DATE($C$1,$E$1,1),0)),cmp_day, DAY(cur_end),prev_start, DATE($C$1,$E$1-1,1),prev_end, MIN(DATE($C$1,$E$1-1,cmp_day),EOMONTH(DATE($C$1,$E$1-1,1),0)),cur_sales, SUMIFS(sales_logs!$E:$E,sales_logs!$B:$B,$A5,sales_logs!$C:$C,"&gt;="&amp;DATE($C$1,$E$1,1),sales_logs!$C:$C,"&lt;="&amp;cur_end,sales_logs!$D:$D,"영업",sales_logs!$I:$I,FALSE),prev_sales, SUMIFS(sales_logs!$E:$E,sales_logs!$B:$B,$A5,sales_logs!$C:$C,"&gt;="&amp;prev_start,sales_logs!$C:$C,"&lt;="&amp;prev_end,sales_logs!$D:$D,"영업",sales_logs!$I:$I,FALSE),IF(prev_sales=0,"데이터부족",(cur_sales-prev_sales)/prev_sales)))</f>
        <v/>
      </c>
      <c r="K5">
        <f>IF($A5="","",IF(MONTH(DATE($C$1,$E$1,K$3))&lt;&gt;$E$1,"---",IF(DATE($C$1,$E$1,K$3)&gt;TODAY(),"",IF(COUNTIFS(sales_logs!$B:$B,$A5,sales_logs!$C:$C,DATE($C$1,$E$1,K$3),sales_logs!$I:$I,TRUE)&gt;0,"중복확인",IF(COUNTIFS(sales_logs!$B:$B,$A5,sales_logs!$C:$C,DATE($C$1,$E$1,K$3),sales_logs!$D:$D,"휴무",sales_logs!$I:$I,FALSE)&gt;0,"휴무",IF(COUNTIFS(sales_logs!$B:$B,$A5,sales_logs!$C:$C,DATE($C$1,$E$1,K$3),sales_logs!$I:$I,FALSE)=0,"미입력",SUMIFS(sales_logs!$E:$E,sales_logs!$B:$B,$A5,sales_logs!$C:$C,DATE($C$1,$E$1,K$3),sales_logs!$D:$D,"영업",sales_logs!$I:$I,FALSE)))))))</f>
        <v/>
      </c>
      <c r="L5">
        <f>IF($A5="","",IF(MONTH(DATE($C$1,$E$1,L$3))&lt;&gt;$E$1,"---",IF(DATE($C$1,$E$1,L$3)&gt;TODAY(),"",IF(COUNTIFS(sales_logs!$B:$B,$A5,sales_logs!$C:$C,DATE($C$1,$E$1,L$3),sales_logs!$I:$I,TRUE)&gt;0,"중복확인",IF(COUNTIFS(sales_logs!$B:$B,$A5,sales_logs!$C:$C,DATE($C$1,$E$1,L$3),sales_logs!$D:$D,"휴무",sales_logs!$I:$I,FALSE)&gt;0,"휴무",IF(COUNTIFS(sales_logs!$B:$B,$A5,sales_logs!$C:$C,DATE($C$1,$E$1,L$3),sales_logs!$I:$I,FALSE)=0,"미입력",SUMIFS(sales_logs!$E:$E,sales_logs!$B:$B,$A5,sales_logs!$C:$C,DATE($C$1,$E$1,L$3),sales_logs!$D:$D,"영업",sales_logs!$I:$I,FALSE)))))))</f>
        <v/>
      </c>
      <c r="M5">
        <f>IF($A5="","",IF(MONTH(DATE($C$1,$E$1,M$3))&lt;&gt;$E$1,"---",IF(DATE($C$1,$E$1,M$3)&gt;TODAY(),"",IF(COUNTIFS(sales_logs!$B:$B,$A5,sales_logs!$C:$C,DATE($C$1,$E$1,M$3),sales_logs!$I:$I,TRUE)&gt;0,"중복확인",IF(COUNTIFS(sales_logs!$B:$B,$A5,sales_logs!$C:$C,DATE($C$1,$E$1,M$3),sales_logs!$D:$D,"휴무",sales_logs!$I:$I,FALSE)&gt;0,"휴무",IF(COUNTIFS(sales_logs!$B:$B,$A5,sales_logs!$C:$C,DATE($C$1,$E$1,M$3),sales_logs!$I:$I,FALSE)=0,"미입력",SUMIFS(sales_logs!$E:$E,sales_logs!$B:$B,$A5,sales_logs!$C:$C,DATE($C$1,$E$1,M$3),sales_logs!$D:$D,"영업",sales_logs!$I:$I,FALSE)))))))</f>
        <v/>
      </c>
      <c r="N5">
        <f>IF($A5="","",IF(MONTH(DATE($C$1,$E$1,N$3))&lt;&gt;$E$1,"---",IF(DATE($C$1,$E$1,N$3)&gt;TODAY(),"",IF(COUNTIFS(sales_logs!$B:$B,$A5,sales_logs!$C:$C,DATE($C$1,$E$1,N$3),sales_logs!$I:$I,TRUE)&gt;0,"중복확인",IF(COUNTIFS(sales_logs!$B:$B,$A5,sales_logs!$C:$C,DATE($C$1,$E$1,N$3),sales_logs!$D:$D,"휴무",sales_logs!$I:$I,FALSE)&gt;0,"휴무",IF(COUNTIFS(sales_logs!$B:$B,$A5,sales_logs!$C:$C,DATE($C$1,$E$1,N$3),sales_logs!$I:$I,FALSE)=0,"미입력",SUMIFS(sales_logs!$E:$E,sales_logs!$B:$B,$A5,sales_logs!$C:$C,DATE($C$1,$E$1,N$3),sales_logs!$D:$D,"영업",sales_logs!$I:$I,FALSE)))))))</f>
        <v/>
      </c>
      <c r="O5">
        <f>IF($A5="","",IF(MONTH(DATE($C$1,$E$1,O$3))&lt;&gt;$E$1,"---",IF(DATE($C$1,$E$1,O$3)&gt;TODAY(),"",IF(COUNTIFS(sales_logs!$B:$B,$A5,sales_logs!$C:$C,DATE($C$1,$E$1,O$3),sales_logs!$I:$I,TRUE)&gt;0,"중복확인",IF(COUNTIFS(sales_logs!$B:$B,$A5,sales_logs!$C:$C,DATE($C$1,$E$1,O$3),sales_logs!$D:$D,"휴무",sales_logs!$I:$I,FALSE)&gt;0,"휴무",IF(COUNTIFS(sales_logs!$B:$B,$A5,sales_logs!$C:$C,DATE($C$1,$E$1,O$3),sales_logs!$I:$I,FALSE)=0,"미입력",SUMIFS(sales_logs!$E:$E,sales_logs!$B:$B,$A5,sales_logs!$C:$C,DATE($C$1,$E$1,O$3),sales_logs!$D:$D,"영업",sales_logs!$I:$I,FALSE)))))))</f>
        <v/>
      </c>
      <c r="P5">
        <f>IF($A5="","",IF(MONTH(DATE($C$1,$E$1,P$3))&lt;&gt;$E$1,"---",IF(DATE($C$1,$E$1,P$3)&gt;TODAY(),"",IF(COUNTIFS(sales_logs!$B:$B,$A5,sales_logs!$C:$C,DATE($C$1,$E$1,P$3),sales_logs!$I:$I,TRUE)&gt;0,"중복확인",IF(COUNTIFS(sales_logs!$B:$B,$A5,sales_logs!$C:$C,DATE($C$1,$E$1,P$3),sales_logs!$D:$D,"휴무",sales_logs!$I:$I,FALSE)&gt;0,"휴무",IF(COUNTIFS(sales_logs!$B:$B,$A5,sales_logs!$C:$C,DATE($C$1,$E$1,P$3),sales_logs!$I:$I,FALSE)=0,"미입력",SUMIFS(sales_logs!$E:$E,sales_logs!$B:$B,$A5,sales_logs!$C:$C,DATE($C$1,$E$1,P$3),sales_logs!$D:$D,"영업",sales_logs!$I:$I,FALSE)))))))</f>
        <v/>
      </c>
      <c r="Q5">
        <f>IF($A5="","",IF(MONTH(DATE($C$1,$E$1,Q$3))&lt;&gt;$E$1,"---",IF(DATE($C$1,$E$1,Q$3)&gt;TODAY(),"",IF(COUNTIFS(sales_logs!$B:$B,$A5,sales_logs!$C:$C,DATE($C$1,$E$1,Q$3),sales_logs!$I:$I,TRUE)&gt;0,"중복확인",IF(COUNTIFS(sales_logs!$B:$B,$A5,sales_logs!$C:$C,DATE($C$1,$E$1,Q$3),sales_logs!$D:$D,"휴무",sales_logs!$I:$I,FALSE)&gt;0,"휴무",IF(COUNTIFS(sales_logs!$B:$B,$A5,sales_logs!$C:$C,DATE($C$1,$E$1,Q$3),sales_logs!$I:$I,FALSE)=0,"미입력",SUMIFS(sales_logs!$E:$E,sales_logs!$B:$B,$A5,sales_logs!$C:$C,DATE($C$1,$E$1,Q$3),sales_logs!$D:$D,"영업",sales_logs!$I:$I,FALSE)))))))</f>
        <v/>
      </c>
      <c r="R5">
        <f>IF($A5="","",IF(MONTH(DATE($C$1,$E$1,R$3))&lt;&gt;$E$1,"---",IF(DATE($C$1,$E$1,R$3)&gt;TODAY(),"",IF(COUNTIFS(sales_logs!$B:$B,$A5,sales_logs!$C:$C,DATE($C$1,$E$1,R$3),sales_logs!$I:$I,TRUE)&gt;0,"중복확인",IF(COUNTIFS(sales_logs!$B:$B,$A5,sales_logs!$C:$C,DATE($C$1,$E$1,R$3),sales_logs!$D:$D,"휴무",sales_logs!$I:$I,FALSE)&gt;0,"휴무",IF(COUNTIFS(sales_logs!$B:$B,$A5,sales_logs!$C:$C,DATE($C$1,$E$1,R$3),sales_logs!$I:$I,FALSE)=0,"미입력",SUMIFS(sales_logs!$E:$E,sales_logs!$B:$B,$A5,sales_logs!$C:$C,DATE($C$1,$E$1,R$3),sales_logs!$D:$D,"영업",sales_logs!$I:$I,FALSE)))))))</f>
        <v/>
      </c>
      <c r="S5">
        <f>IF($A5="","",IF(MONTH(DATE($C$1,$E$1,S$3))&lt;&gt;$E$1,"---",IF(DATE($C$1,$E$1,S$3)&gt;TODAY(),"",IF(COUNTIFS(sales_logs!$B:$B,$A5,sales_logs!$C:$C,DATE($C$1,$E$1,S$3),sales_logs!$I:$I,TRUE)&gt;0,"중복확인",IF(COUNTIFS(sales_logs!$B:$B,$A5,sales_logs!$C:$C,DATE($C$1,$E$1,S$3),sales_logs!$D:$D,"휴무",sales_logs!$I:$I,FALSE)&gt;0,"휴무",IF(COUNTIFS(sales_logs!$B:$B,$A5,sales_logs!$C:$C,DATE($C$1,$E$1,S$3),sales_logs!$I:$I,FALSE)=0,"미입력",SUMIFS(sales_logs!$E:$E,sales_logs!$B:$B,$A5,sales_logs!$C:$C,DATE($C$1,$E$1,S$3),sales_logs!$D:$D,"영업",sales_logs!$I:$I,FALSE)))))))</f>
        <v/>
      </c>
      <c r="T5">
        <f>IF($A5="","",IF(MONTH(DATE($C$1,$E$1,T$3))&lt;&gt;$E$1,"---",IF(DATE($C$1,$E$1,T$3)&gt;TODAY(),"",IF(COUNTIFS(sales_logs!$B:$B,$A5,sales_logs!$C:$C,DATE($C$1,$E$1,T$3),sales_logs!$I:$I,TRUE)&gt;0,"중복확인",IF(COUNTIFS(sales_logs!$B:$B,$A5,sales_logs!$C:$C,DATE($C$1,$E$1,T$3),sales_logs!$D:$D,"휴무",sales_logs!$I:$I,FALSE)&gt;0,"휴무",IF(COUNTIFS(sales_logs!$B:$B,$A5,sales_logs!$C:$C,DATE($C$1,$E$1,T$3),sales_logs!$I:$I,FALSE)=0,"미입력",SUMIFS(sales_logs!$E:$E,sales_logs!$B:$B,$A5,sales_logs!$C:$C,DATE($C$1,$E$1,T$3),sales_logs!$D:$D,"영업",sales_logs!$I:$I,FALSE)))))))</f>
        <v/>
      </c>
      <c r="U5">
        <f>IF($A5="","",IF(MONTH(DATE($C$1,$E$1,U$3))&lt;&gt;$E$1,"---",IF(DATE($C$1,$E$1,U$3)&gt;TODAY(),"",IF(COUNTIFS(sales_logs!$B:$B,$A5,sales_logs!$C:$C,DATE($C$1,$E$1,U$3),sales_logs!$I:$I,TRUE)&gt;0,"중복확인",IF(COUNTIFS(sales_logs!$B:$B,$A5,sales_logs!$C:$C,DATE($C$1,$E$1,U$3),sales_logs!$D:$D,"휴무",sales_logs!$I:$I,FALSE)&gt;0,"휴무",IF(COUNTIFS(sales_logs!$B:$B,$A5,sales_logs!$C:$C,DATE($C$1,$E$1,U$3),sales_logs!$I:$I,FALSE)=0,"미입력",SUMIFS(sales_logs!$E:$E,sales_logs!$B:$B,$A5,sales_logs!$C:$C,DATE($C$1,$E$1,U$3),sales_logs!$D:$D,"영업",sales_logs!$I:$I,FALSE)))))))</f>
        <v/>
      </c>
      <c r="V5">
        <f>IF($A5="","",IF(MONTH(DATE($C$1,$E$1,V$3))&lt;&gt;$E$1,"---",IF(DATE($C$1,$E$1,V$3)&gt;TODAY(),"",IF(COUNTIFS(sales_logs!$B:$B,$A5,sales_logs!$C:$C,DATE($C$1,$E$1,V$3),sales_logs!$I:$I,TRUE)&gt;0,"중복확인",IF(COUNTIFS(sales_logs!$B:$B,$A5,sales_logs!$C:$C,DATE($C$1,$E$1,V$3),sales_logs!$D:$D,"휴무",sales_logs!$I:$I,FALSE)&gt;0,"휴무",IF(COUNTIFS(sales_logs!$B:$B,$A5,sales_logs!$C:$C,DATE($C$1,$E$1,V$3),sales_logs!$I:$I,FALSE)=0,"미입력",SUMIFS(sales_logs!$E:$E,sales_logs!$B:$B,$A5,sales_logs!$C:$C,DATE($C$1,$E$1,V$3),sales_logs!$D:$D,"영업",sales_logs!$I:$I,FALSE)))))))</f>
        <v/>
      </c>
      <c r="W5">
        <f>IF($A5="","",IF(MONTH(DATE($C$1,$E$1,W$3))&lt;&gt;$E$1,"---",IF(DATE($C$1,$E$1,W$3)&gt;TODAY(),"",IF(COUNTIFS(sales_logs!$B:$B,$A5,sales_logs!$C:$C,DATE($C$1,$E$1,W$3),sales_logs!$I:$I,TRUE)&gt;0,"중복확인",IF(COUNTIFS(sales_logs!$B:$B,$A5,sales_logs!$C:$C,DATE($C$1,$E$1,W$3),sales_logs!$D:$D,"휴무",sales_logs!$I:$I,FALSE)&gt;0,"휴무",IF(COUNTIFS(sales_logs!$B:$B,$A5,sales_logs!$C:$C,DATE($C$1,$E$1,W$3),sales_logs!$I:$I,FALSE)=0,"미입력",SUMIFS(sales_logs!$E:$E,sales_logs!$B:$B,$A5,sales_logs!$C:$C,DATE($C$1,$E$1,W$3),sales_logs!$D:$D,"영업",sales_logs!$I:$I,FALSE)))))))</f>
        <v/>
      </c>
      <c r="X5">
        <f>IF($A5="","",IF(MONTH(DATE($C$1,$E$1,X$3))&lt;&gt;$E$1,"---",IF(DATE($C$1,$E$1,X$3)&gt;TODAY(),"",IF(COUNTIFS(sales_logs!$B:$B,$A5,sales_logs!$C:$C,DATE($C$1,$E$1,X$3),sales_logs!$I:$I,TRUE)&gt;0,"중복확인",IF(COUNTIFS(sales_logs!$B:$B,$A5,sales_logs!$C:$C,DATE($C$1,$E$1,X$3),sales_logs!$D:$D,"휴무",sales_logs!$I:$I,FALSE)&gt;0,"휴무",IF(COUNTIFS(sales_logs!$B:$B,$A5,sales_logs!$C:$C,DATE($C$1,$E$1,X$3),sales_logs!$I:$I,FALSE)=0,"미입력",SUMIFS(sales_logs!$E:$E,sales_logs!$B:$B,$A5,sales_logs!$C:$C,DATE($C$1,$E$1,X$3),sales_logs!$D:$D,"영업",sales_logs!$I:$I,FALSE)))))))</f>
        <v/>
      </c>
      <c r="Y5">
        <f>IF($A5="","",IF(MONTH(DATE($C$1,$E$1,Y$3))&lt;&gt;$E$1,"---",IF(DATE($C$1,$E$1,Y$3)&gt;TODAY(),"",IF(COUNTIFS(sales_logs!$B:$B,$A5,sales_logs!$C:$C,DATE($C$1,$E$1,Y$3),sales_logs!$I:$I,TRUE)&gt;0,"중복확인",IF(COUNTIFS(sales_logs!$B:$B,$A5,sales_logs!$C:$C,DATE($C$1,$E$1,Y$3),sales_logs!$D:$D,"휴무",sales_logs!$I:$I,FALSE)&gt;0,"휴무",IF(COUNTIFS(sales_logs!$B:$B,$A5,sales_logs!$C:$C,DATE($C$1,$E$1,Y$3),sales_logs!$I:$I,FALSE)=0,"미입력",SUMIFS(sales_logs!$E:$E,sales_logs!$B:$B,$A5,sales_logs!$C:$C,DATE($C$1,$E$1,Y$3),sales_logs!$D:$D,"영업",sales_logs!$I:$I,FALSE)))))))</f>
        <v/>
      </c>
      <c r="Z5">
        <f>IF($A5="","",IF(MONTH(DATE($C$1,$E$1,Z$3))&lt;&gt;$E$1,"---",IF(DATE($C$1,$E$1,Z$3)&gt;TODAY(),"",IF(COUNTIFS(sales_logs!$B:$B,$A5,sales_logs!$C:$C,DATE($C$1,$E$1,Z$3),sales_logs!$I:$I,TRUE)&gt;0,"중복확인",IF(COUNTIFS(sales_logs!$B:$B,$A5,sales_logs!$C:$C,DATE($C$1,$E$1,Z$3),sales_logs!$D:$D,"휴무",sales_logs!$I:$I,FALSE)&gt;0,"휴무",IF(COUNTIFS(sales_logs!$B:$B,$A5,sales_logs!$C:$C,DATE($C$1,$E$1,Z$3),sales_logs!$I:$I,FALSE)=0,"미입력",SUMIFS(sales_logs!$E:$E,sales_logs!$B:$B,$A5,sales_logs!$C:$C,DATE($C$1,$E$1,Z$3),sales_logs!$D:$D,"영업",sales_logs!$I:$I,FALSE)))))))</f>
        <v/>
      </c>
      <c r="AA5">
        <f>IF($A5="","",IF(MONTH(DATE($C$1,$E$1,AA$3))&lt;&gt;$E$1,"---",IF(DATE($C$1,$E$1,AA$3)&gt;TODAY(),"",IF(COUNTIFS(sales_logs!$B:$B,$A5,sales_logs!$C:$C,DATE($C$1,$E$1,AA$3),sales_logs!$I:$I,TRUE)&gt;0,"중복확인",IF(COUNTIFS(sales_logs!$B:$B,$A5,sales_logs!$C:$C,DATE($C$1,$E$1,AA$3),sales_logs!$D:$D,"휴무",sales_logs!$I:$I,FALSE)&gt;0,"휴무",IF(COUNTIFS(sales_logs!$B:$B,$A5,sales_logs!$C:$C,DATE($C$1,$E$1,AA$3),sales_logs!$I:$I,FALSE)=0,"미입력",SUMIFS(sales_logs!$E:$E,sales_logs!$B:$B,$A5,sales_logs!$C:$C,DATE($C$1,$E$1,AA$3),sales_logs!$D:$D,"영업",sales_logs!$I:$I,FALSE)))))))</f>
        <v/>
      </c>
      <c r="AB5">
        <f>IF($A5="","",IF(MONTH(DATE($C$1,$E$1,AB$3))&lt;&gt;$E$1,"---",IF(DATE($C$1,$E$1,AB$3)&gt;TODAY(),"",IF(COUNTIFS(sales_logs!$B:$B,$A5,sales_logs!$C:$C,DATE($C$1,$E$1,AB$3),sales_logs!$I:$I,TRUE)&gt;0,"중복확인",IF(COUNTIFS(sales_logs!$B:$B,$A5,sales_logs!$C:$C,DATE($C$1,$E$1,AB$3),sales_logs!$D:$D,"휴무",sales_logs!$I:$I,FALSE)&gt;0,"휴무",IF(COUNTIFS(sales_logs!$B:$B,$A5,sales_logs!$C:$C,DATE($C$1,$E$1,AB$3),sales_logs!$I:$I,FALSE)=0,"미입력",SUMIFS(sales_logs!$E:$E,sales_logs!$B:$B,$A5,sales_logs!$C:$C,DATE($C$1,$E$1,AB$3),sales_logs!$D:$D,"영업",sales_logs!$I:$I,FALSE)))))))</f>
        <v/>
      </c>
      <c r="AC5">
        <f>IF($A5="","",IF(MONTH(DATE($C$1,$E$1,AC$3))&lt;&gt;$E$1,"---",IF(DATE($C$1,$E$1,AC$3)&gt;TODAY(),"",IF(COUNTIFS(sales_logs!$B:$B,$A5,sales_logs!$C:$C,DATE($C$1,$E$1,AC$3),sales_logs!$I:$I,TRUE)&gt;0,"중복확인",IF(COUNTIFS(sales_logs!$B:$B,$A5,sales_logs!$C:$C,DATE($C$1,$E$1,AC$3),sales_logs!$D:$D,"휴무",sales_logs!$I:$I,FALSE)&gt;0,"휴무",IF(COUNTIFS(sales_logs!$B:$B,$A5,sales_logs!$C:$C,DATE($C$1,$E$1,AC$3),sales_logs!$I:$I,FALSE)=0,"미입력",SUMIFS(sales_logs!$E:$E,sales_logs!$B:$B,$A5,sales_logs!$C:$C,DATE($C$1,$E$1,AC$3),sales_logs!$D:$D,"영업",sales_logs!$I:$I,FALSE)))))))</f>
        <v/>
      </c>
      <c r="AD5">
        <f>IF($A5="","",IF(MONTH(DATE($C$1,$E$1,AD$3))&lt;&gt;$E$1,"---",IF(DATE($C$1,$E$1,AD$3)&gt;TODAY(),"",IF(COUNTIFS(sales_logs!$B:$B,$A5,sales_logs!$C:$C,DATE($C$1,$E$1,AD$3),sales_logs!$I:$I,TRUE)&gt;0,"중복확인",IF(COUNTIFS(sales_logs!$B:$B,$A5,sales_logs!$C:$C,DATE($C$1,$E$1,AD$3),sales_logs!$D:$D,"휴무",sales_logs!$I:$I,FALSE)&gt;0,"휴무",IF(COUNTIFS(sales_logs!$B:$B,$A5,sales_logs!$C:$C,DATE($C$1,$E$1,AD$3),sales_logs!$I:$I,FALSE)=0,"미입력",SUMIFS(sales_logs!$E:$E,sales_logs!$B:$B,$A5,sales_logs!$C:$C,DATE($C$1,$E$1,AD$3),sales_logs!$D:$D,"영업",sales_logs!$I:$I,FALSE)))))))</f>
        <v/>
      </c>
      <c r="AE5">
        <f>IF($A5="","",IF(MONTH(DATE($C$1,$E$1,AE$3))&lt;&gt;$E$1,"---",IF(DATE($C$1,$E$1,AE$3)&gt;TODAY(),"",IF(COUNTIFS(sales_logs!$B:$B,$A5,sales_logs!$C:$C,DATE($C$1,$E$1,AE$3),sales_logs!$I:$I,TRUE)&gt;0,"중복확인",IF(COUNTIFS(sales_logs!$B:$B,$A5,sales_logs!$C:$C,DATE($C$1,$E$1,AE$3),sales_logs!$D:$D,"휴무",sales_logs!$I:$I,FALSE)&gt;0,"휴무",IF(COUNTIFS(sales_logs!$B:$B,$A5,sales_logs!$C:$C,DATE($C$1,$E$1,AE$3),sales_logs!$I:$I,FALSE)=0,"미입력",SUMIFS(sales_logs!$E:$E,sales_logs!$B:$B,$A5,sales_logs!$C:$C,DATE($C$1,$E$1,AE$3),sales_logs!$D:$D,"영업",sales_logs!$I:$I,FALSE)))))))</f>
        <v/>
      </c>
      <c r="AF5">
        <f>IF($A5="","",IF(MONTH(DATE($C$1,$E$1,AF$3))&lt;&gt;$E$1,"---",IF(DATE($C$1,$E$1,AF$3)&gt;TODAY(),"",IF(COUNTIFS(sales_logs!$B:$B,$A5,sales_logs!$C:$C,DATE($C$1,$E$1,AF$3),sales_logs!$I:$I,TRUE)&gt;0,"중복확인",IF(COUNTIFS(sales_logs!$B:$B,$A5,sales_logs!$C:$C,DATE($C$1,$E$1,AF$3),sales_logs!$D:$D,"휴무",sales_logs!$I:$I,FALSE)&gt;0,"휴무",IF(COUNTIFS(sales_logs!$B:$B,$A5,sales_logs!$C:$C,DATE($C$1,$E$1,AF$3),sales_logs!$I:$I,FALSE)=0,"미입력",SUMIFS(sales_logs!$E:$E,sales_logs!$B:$B,$A5,sales_logs!$C:$C,DATE($C$1,$E$1,AF$3),sales_logs!$D:$D,"영업",sales_logs!$I:$I,FALSE)))))))</f>
        <v/>
      </c>
      <c r="AG5">
        <f>IF($A5="","",IF(MONTH(DATE($C$1,$E$1,AG$3))&lt;&gt;$E$1,"---",IF(DATE($C$1,$E$1,AG$3)&gt;TODAY(),"",IF(COUNTIFS(sales_logs!$B:$B,$A5,sales_logs!$C:$C,DATE($C$1,$E$1,AG$3),sales_logs!$I:$I,TRUE)&gt;0,"중복확인",IF(COUNTIFS(sales_logs!$B:$B,$A5,sales_logs!$C:$C,DATE($C$1,$E$1,AG$3),sales_logs!$D:$D,"휴무",sales_logs!$I:$I,FALSE)&gt;0,"휴무",IF(COUNTIFS(sales_logs!$B:$B,$A5,sales_logs!$C:$C,DATE($C$1,$E$1,AG$3),sales_logs!$I:$I,FALSE)=0,"미입력",SUMIFS(sales_logs!$E:$E,sales_logs!$B:$B,$A5,sales_logs!$C:$C,DATE($C$1,$E$1,AG$3),sales_logs!$D:$D,"영업",sales_logs!$I:$I,FALSE)))))))</f>
        <v/>
      </c>
      <c r="AH5">
        <f>IF($A5="","",IF(MONTH(DATE($C$1,$E$1,AH$3))&lt;&gt;$E$1,"---",IF(DATE($C$1,$E$1,AH$3)&gt;TODAY(),"",IF(COUNTIFS(sales_logs!$B:$B,$A5,sales_logs!$C:$C,DATE($C$1,$E$1,AH$3),sales_logs!$I:$I,TRUE)&gt;0,"중복확인",IF(COUNTIFS(sales_logs!$B:$B,$A5,sales_logs!$C:$C,DATE($C$1,$E$1,AH$3),sales_logs!$D:$D,"휴무",sales_logs!$I:$I,FALSE)&gt;0,"휴무",IF(COUNTIFS(sales_logs!$B:$B,$A5,sales_logs!$C:$C,DATE($C$1,$E$1,AH$3),sales_logs!$I:$I,FALSE)=0,"미입력",SUMIFS(sales_logs!$E:$E,sales_logs!$B:$B,$A5,sales_logs!$C:$C,DATE($C$1,$E$1,AH$3),sales_logs!$D:$D,"영업",sales_logs!$I:$I,FALSE)))))))</f>
        <v/>
      </c>
      <c r="AI5">
        <f>IF($A5="","",IF(MONTH(DATE($C$1,$E$1,AI$3))&lt;&gt;$E$1,"---",IF(DATE($C$1,$E$1,AI$3)&gt;TODAY(),"",IF(COUNTIFS(sales_logs!$B:$B,$A5,sales_logs!$C:$C,DATE($C$1,$E$1,AI$3),sales_logs!$I:$I,TRUE)&gt;0,"중복확인",IF(COUNTIFS(sales_logs!$B:$B,$A5,sales_logs!$C:$C,DATE($C$1,$E$1,AI$3),sales_logs!$D:$D,"휴무",sales_logs!$I:$I,FALSE)&gt;0,"휴무",IF(COUNTIFS(sales_logs!$B:$B,$A5,sales_logs!$C:$C,DATE($C$1,$E$1,AI$3),sales_logs!$I:$I,FALSE)=0,"미입력",SUMIFS(sales_logs!$E:$E,sales_logs!$B:$B,$A5,sales_logs!$C:$C,DATE($C$1,$E$1,AI$3),sales_logs!$D:$D,"영업",sales_logs!$I:$I,FALSE)))))))</f>
        <v/>
      </c>
      <c r="AJ5">
        <f>IF($A5="","",IF(MONTH(DATE($C$1,$E$1,AJ$3))&lt;&gt;$E$1,"---",IF(DATE($C$1,$E$1,AJ$3)&gt;TODAY(),"",IF(COUNTIFS(sales_logs!$B:$B,$A5,sales_logs!$C:$C,DATE($C$1,$E$1,AJ$3),sales_logs!$I:$I,TRUE)&gt;0,"중복확인",IF(COUNTIFS(sales_logs!$B:$B,$A5,sales_logs!$C:$C,DATE($C$1,$E$1,AJ$3),sales_logs!$D:$D,"휴무",sales_logs!$I:$I,FALSE)&gt;0,"휴무",IF(COUNTIFS(sales_logs!$B:$B,$A5,sales_logs!$C:$C,DATE($C$1,$E$1,AJ$3),sales_logs!$I:$I,FALSE)=0,"미입력",SUMIFS(sales_logs!$E:$E,sales_logs!$B:$B,$A5,sales_logs!$C:$C,DATE($C$1,$E$1,AJ$3),sales_logs!$D:$D,"영업",sales_logs!$I:$I,FALSE)))))))</f>
        <v/>
      </c>
      <c r="AK5">
        <f>IF($A5="","",IF(MONTH(DATE($C$1,$E$1,AK$3))&lt;&gt;$E$1,"---",IF(DATE($C$1,$E$1,AK$3)&gt;TODAY(),"",IF(COUNTIFS(sales_logs!$B:$B,$A5,sales_logs!$C:$C,DATE($C$1,$E$1,AK$3),sales_logs!$I:$I,TRUE)&gt;0,"중복확인",IF(COUNTIFS(sales_logs!$B:$B,$A5,sales_logs!$C:$C,DATE($C$1,$E$1,AK$3),sales_logs!$D:$D,"휴무",sales_logs!$I:$I,FALSE)&gt;0,"휴무",IF(COUNTIFS(sales_logs!$B:$B,$A5,sales_logs!$C:$C,DATE($C$1,$E$1,AK$3),sales_logs!$I:$I,FALSE)=0,"미입력",SUMIFS(sales_logs!$E:$E,sales_logs!$B:$B,$A5,sales_logs!$C:$C,DATE($C$1,$E$1,AK$3),sales_logs!$D:$D,"영업",sales_logs!$I:$I,FALSE)))))))</f>
        <v/>
      </c>
      <c r="AL5">
        <f>IF($A5="","",IF(MONTH(DATE($C$1,$E$1,AL$3))&lt;&gt;$E$1,"---",IF(DATE($C$1,$E$1,AL$3)&gt;TODAY(),"",IF(COUNTIFS(sales_logs!$B:$B,$A5,sales_logs!$C:$C,DATE($C$1,$E$1,AL$3),sales_logs!$I:$I,TRUE)&gt;0,"중복확인",IF(COUNTIFS(sales_logs!$B:$B,$A5,sales_logs!$C:$C,DATE($C$1,$E$1,AL$3),sales_logs!$D:$D,"휴무",sales_logs!$I:$I,FALSE)&gt;0,"휴무",IF(COUNTIFS(sales_logs!$B:$B,$A5,sales_logs!$C:$C,DATE($C$1,$E$1,AL$3),sales_logs!$I:$I,FALSE)=0,"미입력",SUMIFS(sales_logs!$E:$E,sales_logs!$B:$B,$A5,sales_logs!$C:$C,DATE($C$1,$E$1,AL$3),sales_logs!$D:$D,"영업",sales_logs!$I:$I,FALSE)))))))</f>
        <v/>
      </c>
      <c r="AM5">
        <f>IF($A5="","",IF(MONTH(DATE($C$1,$E$1,AM$3))&lt;&gt;$E$1,"---",IF(DATE($C$1,$E$1,AM$3)&gt;TODAY(),"",IF(COUNTIFS(sales_logs!$B:$B,$A5,sales_logs!$C:$C,DATE($C$1,$E$1,AM$3),sales_logs!$I:$I,TRUE)&gt;0,"중복확인",IF(COUNTIFS(sales_logs!$B:$B,$A5,sales_logs!$C:$C,DATE($C$1,$E$1,AM$3),sales_logs!$D:$D,"휴무",sales_logs!$I:$I,FALSE)&gt;0,"휴무",IF(COUNTIFS(sales_logs!$B:$B,$A5,sales_logs!$C:$C,DATE($C$1,$E$1,AM$3),sales_logs!$I:$I,FALSE)=0,"미입력",SUMIFS(sales_logs!$E:$E,sales_logs!$B:$B,$A5,sales_logs!$C:$C,DATE($C$1,$E$1,AM$3),sales_logs!$D:$D,"영업",sales_logs!$I:$I,FALSE)))))))</f>
        <v/>
      </c>
      <c r="AN5">
        <f>IF($A5="","",IF(MONTH(DATE($C$1,$E$1,AN$3))&lt;&gt;$E$1,"---",IF(DATE($C$1,$E$1,AN$3)&gt;TODAY(),"",IF(COUNTIFS(sales_logs!$B:$B,$A5,sales_logs!$C:$C,DATE($C$1,$E$1,AN$3),sales_logs!$I:$I,TRUE)&gt;0,"중복확인",IF(COUNTIFS(sales_logs!$B:$B,$A5,sales_logs!$C:$C,DATE($C$1,$E$1,AN$3),sales_logs!$D:$D,"휴무",sales_logs!$I:$I,FALSE)&gt;0,"휴무",IF(COUNTIFS(sales_logs!$B:$B,$A5,sales_logs!$C:$C,DATE($C$1,$E$1,AN$3),sales_logs!$I:$I,FALSE)=0,"미입력",SUMIFS(sales_logs!$E:$E,sales_logs!$B:$B,$A5,sales_logs!$C:$C,DATE($C$1,$E$1,AN$3),sales_logs!$D:$D,"영업",sales_logs!$I:$I,FALSE)))))))</f>
        <v/>
      </c>
      <c r="AO5">
        <f>IF($A5="","",IF(MONTH(DATE($C$1,$E$1,AO$3))&lt;&gt;$E$1,"---",IF(DATE($C$1,$E$1,AO$3)&gt;TODAY(),"",IF(COUNTIFS(sales_logs!$B:$B,$A5,sales_logs!$C:$C,DATE($C$1,$E$1,AO$3),sales_logs!$I:$I,TRUE)&gt;0,"중복확인",IF(COUNTIFS(sales_logs!$B:$B,$A5,sales_logs!$C:$C,DATE($C$1,$E$1,AO$3),sales_logs!$D:$D,"휴무",sales_logs!$I:$I,FALSE)&gt;0,"휴무",IF(COUNTIFS(sales_logs!$B:$B,$A5,sales_logs!$C:$C,DATE($C$1,$E$1,AO$3),sales_logs!$I:$I,FALSE)=0,"미입력",SUMIFS(sales_logs!$E:$E,sales_logs!$B:$B,$A5,sales_logs!$C:$C,DATE($C$1,$E$1,AO$3),sales_logs!$D:$D,"영업",sales_logs!$I:$I,FALSE)))))))</f>
        <v/>
      </c>
    </row>
    <row r="6">
      <c r="A6">
        <f>IFERROR(INDEX(FILTER(stores!$A$2:$A,stores!$G$2:$G="active"),ROW()-3),"")</f>
        <v/>
      </c>
      <c r="B6">
        <f>IF($A6="","",VLOOKUP($A6,stores!$A:$B,2,0))</f>
        <v/>
      </c>
      <c r="C6">
        <f>IF($A6="","",VLOOKUP($A6,stores!$A:$C,3,0))</f>
        <v/>
      </c>
      <c r="D6">
        <f>IF($A6="","",IF(DATE($C$1,$E$1,1)&gt;TODAY(),0,IFERROR(COUNTUNIQUE(FILTER(sales_logs!$C$2:$C$1000,sales_logs!$B$2:$B$1000=$A6,sales_logs!$C$2:$C$1000&gt;=DATE($C$1,$E$1,1),sales_logs!$C$2:$C$1000&lt;=MIN(TODAY(),EOMONTH(DATE($C$1,$E$1,1),0)),sales_logs!$I$2:$I$1000=FALSE))/DAY(MIN(TODAY(),EOMONTH(DATE($C$1,$E$1,1),0))),0)))</f>
        <v/>
      </c>
      <c r="E6">
        <f>IF($A6="","",IF(DATE($C$1,$E$1,1)&gt;TODAY(),0,DAY(MIN(TODAY(),EOMONTH(DATE($C$1,$E$1,1),0)))-IFERROR(COUNTUNIQUE(FILTER(sales_logs!$C$2:$C$1000,sales_logs!$B$2:$B$1000=$A6,sales_logs!$C$2:$C$1000&gt;=DATE($C$1,$E$1,1),sales_logs!$C$2:$C$1000&lt;=MIN(TODAY(),EOMONTH(DATE($C$1,$E$1,1),0)),sales_logs!$I$2:$I$1000=FALSE)),0)))</f>
        <v/>
      </c>
      <c r="F6">
        <f>IF($A6="","",COUNTIFS(sales_logs!$B:$B,$A6,sales_logs!$C:$C,"&gt;="&amp;DATE($C$1,$E$1,1),sales_logs!$C:$C,"&lt;="&amp;EOMONTH(DATE($C$1,$E$1,1),0),sales_logs!$D:$D,"휴무",sales_logs!$I:$I,FALSE))</f>
        <v/>
      </c>
      <c r="G6">
        <f>IF($A6="","",COUNTIFS(sales_logs!$B:$B,$A6,sales_logs!$C:$C,"&gt;="&amp;DATE($C$1,$E$1,1),sales_logs!$C:$C,"&lt;="&amp;EOMONTH(DATE($C$1,$E$1,1),0),sales_logs!$D:$D,"영업",sales_logs!$I:$I,FALSE))</f>
        <v/>
      </c>
      <c r="H6">
        <f>IF($A6="","",SUMIFS(sales_logs!$E:$E,sales_logs!$B:$B,$A6,sales_logs!$C:$C,"&gt;="&amp;DATE($C$1,$E$1,1),sales_logs!$C:$C,"&lt;="&amp;EOMONTH(DATE($C$1,$E$1,1),0),sales_logs!$D:$D,"영업",sales_logs!$I:$I,FALSE))</f>
        <v/>
      </c>
      <c r="I6">
        <f>IF(OR($A6="",G6=0),"",H6/G6)</f>
        <v/>
      </c>
      <c r="J6">
        <f>IF($A6="","",LET(cur_end, MIN(TODAY(),EOMONTH(DATE($C$1,$E$1,1),0)),cmp_day, DAY(cur_end),prev_start, DATE($C$1,$E$1-1,1),prev_end, MIN(DATE($C$1,$E$1-1,cmp_day),EOMONTH(DATE($C$1,$E$1-1,1),0)),cur_sales, SUMIFS(sales_logs!$E:$E,sales_logs!$B:$B,$A6,sales_logs!$C:$C,"&gt;="&amp;DATE($C$1,$E$1,1),sales_logs!$C:$C,"&lt;="&amp;cur_end,sales_logs!$D:$D,"영업",sales_logs!$I:$I,FALSE),prev_sales, SUMIFS(sales_logs!$E:$E,sales_logs!$B:$B,$A6,sales_logs!$C:$C,"&gt;="&amp;prev_start,sales_logs!$C:$C,"&lt;="&amp;prev_end,sales_logs!$D:$D,"영업",sales_logs!$I:$I,FALSE),IF(prev_sales=0,"데이터부족",(cur_sales-prev_sales)/prev_sales)))</f>
        <v/>
      </c>
      <c r="K6">
        <f>IF($A6="","",IF(MONTH(DATE($C$1,$E$1,K$3))&lt;&gt;$E$1,"---",IF(DATE($C$1,$E$1,K$3)&gt;TODAY(),"",IF(COUNTIFS(sales_logs!$B:$B,$A6,sales_logs!$C:$C,DATE($C$1,$E$1,K$3),sales_logs!$I:$I,TRUE)&gt;0,"중복확인",IF(COUNTIFS(sales_logs!$B:$B,$A6,sales_logs!$C:$C,DATE($C$1,$E$1,K$3),sales_logs!$D:$D,"휴무",sales_logs!$I:$I,FALSE)&gt;0,"휴무",IF(COUNTIFS(sales_logs!$B:$B,$A6,sales_logs!$C:$C,DATE($C$1,$E$1,K$3),sales_logs!$I:$I,FALSE)=0,"미입력",SUMIFS(sales_logs!$E:$E,sales_logs!$B:$B,$A6,sales_logs!$C:$C,DATE($C$1,$E$1,K$3),sales_logs!$D:$D,"영업",sales_logs!$I:$I,FALSE)))))))</f>
        <v/>
      </c>
      <c r="L6">
        <f>IF($A6="","",IF(MONTH(DATE($C$1,$E$1,L$3))&lt;&gt;$E$1,"---",IF(DATE($C$1,$E$1,L$3)&gt;TODAY(),"",IF(COUNTIFS(sales_logs!$B:$B,$A6,sales_logs!$C:$C,DATE($C$1,$E$1,L$3),sales_logs!$I:$I,TRUE)&gt;0,"중복확인",IF(COUNTIFS(sales_logs!$B:$B,$A6,sales_logs!$C:$C,DATE($C$1,$E$1,L$3),sales_logs!$D:$D,"휴무",sales_logs!$I:$I,FALSE)&gt;0,"휴무",IF(COUNTIFS(sales_logs!$B:$B,$A6,sales_logs!$C:$C,DATE($C$1,$E$1,L$3),sales_logs!$I:$I,FALSE)=0,"미입력",SUMIFS(sales_logs!$E:$E,sales_logs!$B:$B,$A6,sales_logs!$C:$C,DATE($C$1,$E$1,L$3),sales_logs!$D:$D,"영업",sales_logs!$I:$I,FALSE)))))))</f>
        <v/>
      </c>
      <c r="M6">
        <f>IF($A6="","",IF(MONTH(DATE($C$1,$E$1,M$3))&lt;&gt;$E$1,"---",IF(DATE($C$1,$E$1,M$3)&gt;TODAY(),"",IF(COUNTIFS(sales_logs!$B:$B,$A6,sales_logs!$C:$C,DATE($C$1,$E$1,M$3),sales_logs!$I:$I,TRUE)&gt;0,"중복확인",IF(COUNTIFS(sales_logs!$B:$B,$A6,sales_logs!$C:$C,DATE($C$1,$E$1,M$3),sales_logs!$D:$D,"휴무",sales_logs!$I:$I,FALSE)&gt;0,"휴무",IF(COUNTIFS(sales_logs!$B:$B,$A6,sales_logs!$C:$C,DATE($C$1,$E$1,M$3),sales_logs!$I:$I,FALSE)=0,"미입력",SUMIFS(sales_logs!$E:$E,sales_logs!$B:$B,$A6,sales_logs!$C:$C,DATE($C$1,$E$1,M$3),sales_logs!$D:$D,"영업",sales_logs!$I:$I,FALSE)))))))</f>
        <v/>
      </c>
      <c r="N6">
        <f>IF($A6="","",IF(MONTH(DATE($C$1,$E$1,N$3))&lt;&gt;$E$1,"---",IF(DATE($C$1,$E$1,N$3)&gt;TODAY(),"",IF(COUNTIFS(sales_logs!$B:$B,$A6,sales_logs!$C:$C,DATE($C$1,$E$1,N$3),sales_logs!$I:$I,TRUE)&gt;0,"중복확인",IF(COUNTIFS(sales_logs!$B:$B,$A6,sales_logs!$C:$C,DATE($C$1,$E$1,N$3),sales_logs!$D:$D,"휴무",sales_logs!$I:$I,FALSE)&gt;0,"휴무",IF(COUNTIFS(sales_logs!$B:$B,$A6,sales_logs!$C:$C,DATE($C$1,$E$1,N$3),sales_logs!$I:$I,FALSE)=0,"미입력",SUMIFS(sales_logs!$E:$E,sales_logs!$B:$B,$A6,sales_logs!$C:$C,DATE($C$1,$E$1,N$3),sales_logs!$D:$D,"영업",sales_logs!$I:$I,FALSE)))))))</f>
        <v/>
      </c>
      <c r="O6">
        <f>IF($A6="","",IF(MONTH(DATE($C$1,$E$1,O$3))&lt;&gt;$E$1,"---",IF(DATE($C$1,$E$1,O$3)&gt;TODAY(),"",IF(COUNTIFS(sales_logs!$B:$B,$A6,sales_logs!$C:$C,DATE($C$1,$E$1,O$3),sales_logs!$I:$I,TRUE)&gt;0,"중복확인",IF(COUNTIFS(sales_logs!$B:$B,$A6,sales_logs!$C:$C,DATE($C$1,$E$1,O$3),sales_logs!$D:$D,"휴무",sales_logs!$I:$I,FALSE)&gt;0,"휴무",IF(COUNTIFS(sales_logs!$B:$B,$A6,sales_logs!$C:$C,DATE($C$1,$E$1,O$3),sales_logs!$I:$I,FALSE)=0,"미입력",SUMIFS(sales_logs!$E:$E,sales_logs!$B:$B,$A6,sales_logs!$C:$C,DATE($C$1,$E$1,O$3),sales_logs!$D:$D,"영업",sales_logs!$I:$I,FALSE)))))))</f>
        <v/>
      </c>
      <c r="P6">
        <f>IF($A6="","",IF(MONTH(DATE($C$1,$E$1,P$3))&lt;&gt;$E$1,"---",IF(DATE($C$1,$E$1,P$3)&gt;TODAY(),"",IF(COUNTIFS(sales_logs!$B:$B,$A6,sales_logs!$C:$C,DATE($C$1,$E$1,P$3),sales_logs!$I:$I,TRUE)&gt;0,"중복확인",IF(COUNTIFS(sales_logs!$B:$B,$A6,sales_logs!$C:$C,DATE($C$1,$E$1,P$3),sales_logs!$D:$D,"휴무",sales_logs!$I:$I,FALSE)&gt;0,"휴무",IF(COUNTIFS(sales_logs!$B:$B,$A6,sales_logs!$C:$C,DATE($C$1,$E$1,P$3),sales_logs!$I:$I,FALSE)=0,"미입력",SUMIFS(sales_logs!$E:$E,sales_logs!$B:$B,$A6,sales_logs!$C:$C,DATE($C$1,$E$1,P$3),sales_logs!$D:$D,"영업",sales_logs!$I:$I,FALSE)))))))</f>
        <v/>
      </c>
      <c r="Q6">
        <f>IF($A6="","",IF(MONTH(DATE($C$1,$E$1,Q$3))&lt;&gt;$E$1,"---",IF(DATE($C$1,$E$1,Q$3)&gt;TODAY(),"",IF(COUNTIFS(sales_logs!$B:$B,$A6,sales_logs!$C:$C,DATE($C$1,$E$1,Q$3),sales_logs!$I:$I,TRUE)&gt;0,"중복확인",IF(COUNTIFS(sales_logs!$B:$B,$A6,sales_logs!$C:$C,DATE($C$1,$E$1,Q$3),sales_logs!$D:$D,"휴무",sales_logs!$I:$I,FALSE)&gt;0,"휴무",IF(COUNTIFS(sales_logs!$B:$B,$A6,sales_logs!$C:$C,DATE($C$1,$E$1,Q$3),sales_logs!$I:$I,FALSE)=0,"미입력",SUMIFS(sales_logs!$E:$E,sales_logs!$B:$B,$A6,sales_logs!$C:$C,DATE($C$1,$E$1,Q$3),sales_logs!$D:$D,"영업",sales_logs!$I:$I,FALSE)))))))</f>
        <v/>
      </c>
      <c r="R6">
        <f>IF($A6="","",IF(MONTH(DATE($C$1,$E$1,R$3))&lt;&gt;$E$1,"---",IF(DATE($C$1,$E$1,R$3)&gt;TODAY(),"",IF(COUNTIFS(sales_logs!$B:$B,$A6,sales_logs!$C:$C,DATE($C$1,$E$1,R$3),sales_logs!$I:$I,TRUE)&gt;0,"중복확인",IF(COUNTIFS(sales_logs!$B:$B,$A6,sales_logs!$C:$C,DATE($C$1,$E$1,R$3),sales_logs!$D:$D,"휴무",sales_logs!$I:$I,FALSE)&gt;0,"휴무",IF(COUNTIFS(sales_logs!$B:$B,$A6,sales_logs!$C:$C,DATE($C$1,$E$1,R$3),sales_logs!$I:$I,FALSE)=0,"미입력",SUMIFS(sales_logs!$E:$E,sales_logs!$B:$B,$A6,sales_logs!$C:$C,DATE($C$1,$E$1,R$3),sales_logs!$D:$D,"영업",sales_logs!$I:$I,FALSE)))))))</f>
        <v/>
      </c>
      <c r="S6">
        <f>IF($A6="","",IF(MONTH(DATE($C$1,$E$1,S$3))&lt;&gt;$E$1,"---",IF(DATE($C$1,$E$1,S$3)&gt;TODAY(),"",IF(COUNTIFS(sales_logs!$B:$B,$A6,sales_logs!$C:$C,DATE($C$1,$E$1,S$3),sales_logs!$I:$I,TRUE)&gt;0,"중복확인",IF(COUNTIFS(sales_logs!$B:$B,$A6,sales_logs!$C:$C,DATE($C$1,$E$1,S$3),sales_logs!$D:$D,"휴무",sales_logs!$I:$I,FALSE)&gt;0,"휴무",IF(COUNTIFS(sales_logs!$B:$B,$A6,sales_logs!$C:$C,DATE($C$1,$E$1,S$3),sales_logs!$I:$I,FALSE)=0,"미입력",SUMIFS(sales_logs!$E:$E,sales_logs!$B:$B,$A6,sales_logs!$C:$C,DATE($C$1,$E$1,S$3),sales_logs!$D:$D,"영업",sales_logs!$I:$I,FALSE)))))))</f>
        <v/>
      </c>
      <c r="T6">
        <f>IF($A6="","",IF(MONTH(DATE($C$1,$E$1,T$3))&lt;&gt;$E$1,"---",IF(DATE($C$1,$E$1,T$3)&gt;TODAY(),"",IF(COUNTIFS(sales_logs!$B:$B,$A6,sales_logs!$C:$C,DATE($C$1,$E$1,T$3),sales_logs!$I:$I,TRUE)&gt;0,"중복확인",IF(COUNTIFS(sales_logs!$B:$B,$A6,sales_logs!$C:$C,DATE($C$1,$E$1,T$3),sales_logs!$D:$D,"휴무",sales_logs!$I:$I,FALSE)&gt;0,"휴무",IF(COUNTIFS(sales_logs!$B:$B,$A6,sales_logs!$C:$C,DATE($C$1,$E$1,T$3),sales_logs!$I:$I,FALSE)=0,"미입력",SUMIFS(sales_logs!$E:$E,sales_logs!$B:$B,$A6,sales_logs!$C:$C,DATE($C$1,$E$1,T$3),sales_logs!$D:$D,"영업",sales_logs!$I:$I,FALSE)))))))</f>
        <v/>
      </c>
      <c r="U6">
        <f>IF($A6="","",IF(MONTH(DATE($C$1,$E$1,U$3))&lt;&gt;$E$1,"---",IF(DATE($C$1,$E$1,U$3)&gt;TODAY(),"",IF(COUNTIFS(sales_logs!$B:$B,$A6,sales_logs!$C:$C,DATE($C$1,$E$1,U$3),sales_logs!$I:$I,TRUE)&gt;0,"중복확인",IF(COUNTIFS(sales_logs!$B:$B,$A6,sales_logs!$C:$C,DATE($C$1,$E$1,U$3),sales_logs!$D:$D,"휴무",sales_logs!$I:$I,FALSE)&gt;0,"휴무",IF(COUNTIFS(sales_logs!$B:$B,$A6,sales_logs!$C:$C,DATE($C$1,$E$1,U$3),sales_logs!$I:$I,FALSE)=0,"미입력",SUMIFS(sales_logs!$E:$E,sales_logs!$B:$B,$A6,sales_logs!$C:$C,DATE($C$1,$E$1,U$3),sales_logs!$D:$D,"영업",sales_logs!$I:$I,FALSE)))))))</f>
        <v/>
      </c>
      <c r="V6">
        <f>IF($A6="","",IF(MONTH(DATE($C$1,$E$1,V$3))&lt;&gt;$E$1,"---",IF(DATE($C$1,$E$1,V$3)&gt;TODAY(),"",IF(COUNTIFS(sales_logs!$B:$B,$A6,sales_logs!$C:$C,DATE($C$1,$E$1,V$3),sales_logs!$I:$I,TRUE)&gt;0,"중복확인",IF(COUNTIFS(sales_logs!$B:$B,$A6,sales_logs!$C:$C,DATE($C$1,$E$1,V$3),sales_logs!$D:$D,"휴무",sales_logs!$I:$I,FALSE)&gt;0,"휴무",IF(COUNTIFS(sales_logs!$B:$B,$A6,sales_logs!$C:$C,DATE($C$1,$E$1,V$3),sales_logs!$I:$I,FALSE)=0,"미입력",SUMIFS(sales_logs!$E:$E,sales_logs!$B:$B,$A6,sales_logs!$C:$C,DATE($C$1,$E$1,V$3),sales_logs!$D:$D,"영업",sales_logs!$I:$I,FALSE)))))))</f>
        <v/>
      </c>
      <c r="W6">
        <f>IF($A6="","",IF(MONTH(DATE($C$1,$E$1,W$3))&lt;&gt;$E$1,"---",IF(DATE($C$1,$E$1,W$3)&gt;TODAY(),"",IF(COUNTIFS(sales_logs!$B:$B,$A6,sales_logs!$C:$C,DATE($C$1,$E$1,W$3),sales_logs!$I:$I,TRUE)&gt;0,"중복확인",IF(COUNTIFS(sales_logs!$B:$B,$A6,sales_logs!$C:$C,DATE($C$1,$E$1,W$3),sales_logs!$D:$D,"휴무",sales_logs!$I:$I,FALSE)&gt;0,"휴무",IF(COUNTIFS(sales_logs!$B:$B,$A6,sales_logs!$C:$C,DATE($C$1,$E$1,W$3),sales_logs!$I:$I,FALSE)=0,"미입력",SUMIFS(sales_logs!$E:$E,sales_logs!$B:$B,$A6,sales_logs!$C:$C,DATE($C$1,$E$1,W$3),sales_logs!$D:$D,"영업",sales_logs!$I:$I,FALSE)))))))</f>
        <v/>
      </c>
      <c r="X6">
        <f>IF($A6="","",IF(MONTH(DATE($C$1,$E$1,X$3))&lt;&gt;$E$1,"---",IF(DATE($C$1,$E$1,X$3)&gt;TODAY(),"",IF(COUNTIFS(sales_logs!$B:$B,$A6,sales_logs!$C:$C,DATE($C$1,$E$1,X$3),sales_logs!$I:$I,TRUE)&gt;0,"중복확인",IF(COUNTIFS(sales_logs!$B:$B,$A6,sales_logs!$C:$C,DATE($C$1,$E$1,X$3),sales_logs!$D:$D,"휴무",sales_logs!$I:$I,FALSE)&gt;0,"휴무",IF(COUNTIFS(sales_logs!$B:$B,$A6,sales_logs!$C:$C,DATE($C$1,$E$1,X$3),sales_logs!$I:$I,FALSE)=0,"미입력",SUMIFS(sales_logs!$E:$E,sales_logs!$B:$B,$A6,sales_logs!$C:$C,DATE($C$1,$E$1,X$3),sales_logs!$D:$D,"영업",sales_logs!$I:$I,FALSE)))))))</f>
        <v/>
      </c>
      <c r="Y6">
        <f>IF($A6="","",IF(MONTH(DATE($C$1,$E$1,Y$3))&lt;&gt;$E$1,"---",IF(DATE($C$1,$E$1,Y$3)&gt;TODAY(),"",IF(COUNTIFS(sales_logs!$B:$B,$A6,sales_logs!$C:$C,DATE($C$1,$E$1,Y$3),sales_logs!$I:$I,TRUE)&gt;0,"중복확인",IF(COUNTIFS(sales_logs!$B:$B,$A6,sales_logs!$C:$C,DATE($C$1,$E$1,Y$3),sales_logs!$D:$D,"휴무",sales_logs!$I:$I,FALSE)&gt;0,"휴무",IF(COUNTIFS(sales_logs!$B:$B,$A6,sales_logs!$C:$C,DATE($C$1,$E$1,Y$3),sales_logs!$I:$I,FALSE)=0,"미입력",SUMIFS(sales_logs!$E:$E,sales_logs!$B:$B,$A6,sales_logs!$C:$C,DATE($C$1,$E$1,Y$3),sales_logs!$D:$D,"영업",sales_logs!$I:$I,FALSE)))))))</f>
        <v/>
      </c>
      <c r="Z6">
        <f>IF($A6="","",IF(MONTH(DATE($C$1,$E$1,Z$3))&lt;&gt;$E$1,"---",IF(DATE($C$1,$E$1,Z$3)&gt;TODAY(),"",IF(COUNTIFS(sales_logs!$B:$B,$A6,sales_logs!$C:$C,DATE($C$1,$E$1,Z$3),sales_logs!$I:$I,TRUE)&gt;0,"중복확인",IF(COUNTIFS(sales_logs!$B:$B,$A6,sales_logs!$C:$C,DATE($C$1,$E$1,Z$3),sales_logs!$D:$D,"휴무",sales_logs!$I:$I,FALSE)&gt;0,"휴무",IF(COUNTIFS(sales_logs!$B:$B,$A6,sales_logs!$C:$C,DATE($C$1,$E$1,Z$3),sales_logs!$I:$I,FALSE)=0,"미입력",SUMIFS(sales_logs!$E:$E,sales_logs!$B:$B,$A6,sales_logs!$C:$C,DATE($C$1,$E$1,Z$3),sales_logs!$D:$D,"영업",sales_logs!$I:$I,FALSE)))))))</f>
        <v/>
      </c>
      <c r="AA6">
        <f>IF($A6="","",IF(MONTH(DATE($C$1,$E$1,AA$3))&lt;&gt;$E$1,"---",IF(DATE($C$1,$E$1,AA$3)&gt;TODAY(),"",IF(COUNTIFS(sales_logs!$B:$B,$A6,sales_logs!$C:$C,DATE($C$1,$E$1,AA$3),sales_logs!$I:$I,TRUE)&gt;0,"중복확인",IF(COUNTIFS(sales_logs!$B:$B,$A6,sales_logs!$C:$C,DATE($C$1,$E$1,AA$3),sales_logs!$D:$D,"휴무",sales_logs!$I:$I,FALSE)&gt;0,"휴무",IF(COUNTIFS(sales_logs!$B:$B,$A6,sales_logs!$C:$C,DATE($C$1,$E$1,AA$3),sales_logs!$I:$I,FALSE)=0,"미입력",SUMIFS(sales_logs!$E:$E,sales_logs!$B:$B,$A6,sales_logs!$C:$C,DATE($C$1,$E$1,AA$3),sales_logs!$D:$D,"영업",sales_logs!$I:$I,FALSE)))))))</f>
        <v/>
      </c>
      <c r="AB6">
        <f>IF($A6="","",IF(MONTH(DATE($C$1,$E$1,AB$3))&lt;&gt;$E$1,"---",IF(DATE($C$1,$E$1,AB$3)&gt;TODAY(),"",IF(COUNTIFS(sales_logs!$B:$B,$A6,sales_logs!$C:$C,DATE($C$1,$E$1,AB$3),sales_logs!$I:$I,TRUE)&gt;0,"중복확인",IF(COUNTIFS(sales_logs!$B:$B,$A6,sales_logs!$C:$C,DATE($C$1,$E$1,AB$3),sales_logs!$D:$D,"휴무",sales_logs!$I:$I,FALSE)&gt;0,"휴무",IF(COUNTIFS(sales_logs!$B:$B,$A6,sales_logs!$C:$C,DATE($C$1,$E$1,AB$3),sales_logs!$I:$I,FALSE)=0,"미입력",SUMIFS(sales_logs!$E:$E,sales_logs!$B:$B,$A6,sales_logs!$C:$C,DATE($C$1,$E$1,AB$3),sales_logs!$D:$D,"영업",sales_logs!$I:$I,FALSE)))))))</f>
        <v/>
      </c>
      <c r="AC6">
        <f>IF($A6="","",IF(MONTH(DATE($C$1,$E$1,AC$3))&lt;&gt;$E$1,"---",IF(DATE($C$1,$E$1,AC$3)&gt;TODAY(),"",IF(COUNTIFS(sales_logs!$B:$B,$A6,sales_logs!$C:$C,DATE($C$1,$E$1,AC$3),sales_logs!$I:$I,TRUE)&gt;0,"중복확인",IF(COUNTIFS(sales_logs!$B:$B,$A6,sales_logs!$C:$C,DATE($C$1,$E$1,AC$3),sales_logs!$D:$D,"휴무",sales_logs!$I:$I,FALSE)&gt;0,"휴무",IF(COUNTIFS(sales_logs!$B:$B,$A6,sales_logs!$C:$C,DATE($C$1,$E$1,AC$3),sales_logs!$I:$I,FALSE)=0,"미입력",SUMIFS(sales_logs!$E:$E,sales_logs!$B:$B,$A6,sales_logs!$C:$C,DATE($C$1,$E$1,AC$3),sales_logs!$D:$D,"영업",sales_logs!$I:$I,FALSE)))))))</f>
        <v/>
      </c>
      <c r="AD6">
        <f>IF($A6="","",IF(MONTH(DATE($C$1,$E$1,AD$3))&lt;&gt;$E$1,"---",IF(DATE($C$1,$E$1,AD$3)&gt;TODAY(),"",IF(COUNTIFS(sales_logs!$B:$B,$A6,sales_logs!$C:$C,DATE($C$1,$E$1,AD$3),sales_logs!$I:$I,TRUE)&gt;0,"중복확인",IF(COUNTIFS(sales_logs!$B:$B,$A6,sales_logs!$C:$C,DATE($C$1,$E$1,AD$3),sales_logs!$D:$D,"휴무",sales_logs!$I:$I,FALSE)&gt;0,"휴무",IF(COUNTIFS(sales_logs!$B:$B,$A6,sales_logs!$C:$C,DATE($C$1,$E$1,AD$3),sales_logs!$I:$I,FALSE)=0,"미입력",SUMIFS(sales_logs!$E:$E,sales_logs!$B:$B,$A6,sales_logs!$C:$C,DATE($C$1,$E$1,AD$3),sales_logs!$D:$D,"영업",sales_logs!$I:$I,FALSE)))))))</f>
        <v/>
      </c>
      <c r="AE6">
        <f>IF($A6="","",IF(MONTH(DATE($C$1,$E$1,AE$3))&lt;&gt;$E$1,"---",IF(DATE($C$1,$E$1,AE$3)&gt;TODAY(),"",IF(COUNTIFS(sales_logs!$B:$B,$A6,sales_logs!$C:$C,DATE($C$1,$E$1,AE$3),sales_logs!$I:$I,TRUE)&gt;0,"중복확인",IF(COUNTIFS(sales_logs!$B:$B,$A6,sales_logs!$C:$C,DATE($C$1,$E$1,AE$3),sales_logs!$D:$D,"휴무",sales_logs!$I:$I,FALSE)&gt;0,"휴무",IF(COUNTIFS(sales_logs!$B:$B,$A6,sales_logs!$C:$C,DATE($C$1,$E$1,AE$3),sales_logs!$I:$I,FALSE)=0,"미입력",SUMIFS(sales_logs!$E:$E,sales_logs!$B:$B,$A6,sales_logs!$C:$C,DATE($C$1,$E$1,AE$3),sales_logs!$D:$D,"영업",sales_logs!$I:$I,FALSE)))))))</f>
        <v/>
      </c>
      <c r="AF6">
        <f>IF($A6="","",IF(MONTH(DATE($C$1,$E$1,AF$3))&lt;&gt;$E$1,"---",IF(DATE($C$1,$E$1,AF$3)&gt;TODAY(),"",IF(COUNTIFS(sales_logs!$B:$B,$A6,sales_logs!$C:$C,DATE($C$1,$E$1,AF$3),sales_logs!$I:$I,TRUE)&gt;0,"중복확인",IF(COUNTIFS(sales_logs!$B:$B,$A6,sales_logs!$C:$C,DATE($C$1,$E$1,AF$3),sales_logs!$D:$D,"휴무",sales_logs!$I:$I,FALSE)&gt;0,"휴무",IF(COUNTIFS(sales_logs!$B:$B,$A6,sales_logs!$C:$C,DATE($C$1,$E$1,AF$3),sales_logs!$I:$I,FALSE)=0,"미입력",SUMIFS(sales_logs!$E:$E,sales_logs!$B:$B,$A6,sales_logs!$C:$C,DATE($C$1,$E$1,AF$3),sales_logs!$D:$D,"영업",sales_logs!$I:$I,FALSE)))))))</f>
        <v/>
      </c>
      <c r="AG6">
        <f>IF($A6="","",IF(MONTH(DATE($C$1,$E$1,AG$3))&lt;&gt;$E$1,"---",IF(DATE($C$1,$E$1,AG$3)&gt;TODAY(),"",IF(COUNTIFS(sales_logs!$B:$B,$A6,sales_logs!$C:$C,DATE($C$1,$E$1,AG$3),sales_logs!$I:$I,TRUE)&gt;0,"중복확인",IF(COUNTIFS(sales_logs!$B:$B,$A6,sales_logs!$C:$C,DATE($C$1,$E$1,AG$3),sales_logs!$D:$D,"휴무",sales_logs!$I:$I,FALSE)&gt;0,"휴무",IF(COUNTIFS(sales_logs!$B:$B,$A6,sales_logs!$C:$C,DATE($C$1,$E$1,AG$3),sales_logs!$I:$I,FALSE)=0,"미입력",SUMIFS(sales_logs!$E:$E,sales_logs!$B:$B,$A6,sales_logs!$C:$C,DATE($C$1,$E$1,AG$3),sales_logs!$D:$D,"영업",sales_logs!$I:$I,FALSE)))))))</f>
        <v/>
      </c>
      <c r="AH6">
        <f>IF($A6="","",IF(MONTH(DATE($C$1,$E$1,AH$3))&lt;&gt;$E$1,"---",IF(DATE($C$1,$E$1,AH$3)&gt;TODAY(),"",IF(COUNTIFS(sales_logs!$B:$B,$A6,sales_logs!$C:$C,DATE($C$1,$E$1,AH$3),sales_logs!$I:$I,TRUE)&gt;0,"중복확인",IF(COUNTIFS(sales_logs!$B:$B,$A6,sales_logs!$C:$C,DATE($C$1,$E$1,AH$3),sales_logs!$D:$D,"휴무",sales_logs!$I:$I,FALSE)&gt;0,"휴무",IF(COUNTIFS(sales_logs!$B:$B,$A6,sales_logs!$C:$C,DATE($C$1,$E$1,AH$3),sales_logs!$I:$I,FALSE)=0,"미입력",SUMIFS(sales_logs!$E:$E,sales_logs!$B:$B,$A6,sales_logs!$C:$C,DATE($C$1,$E$1,AH$3),sales_logs!$D:$D,"영업",sales_logs!$I:$I,FALSE)))))))</f>
        <v/>
      </c>
      <c r="AI6">
        <f>IF($A6="","",IF(MONTH(DATE($C$1,$E$1,AI$3))&lt;&gt;$E$1,"---",IF(DATE($C$1,$E$1,AI$3)&gt;TODAY(),"",IF(COUNTIFS(sales_logs!$B:$B,$A6,sales_logs!$C:$C,DATE($C$1,$E$1,AI$3),sales_logs!$I:$I,TRUE)&gt;0,"중복확인",IF(COUNTIFS(sales_logs!$B:$B,$A6,sales_logs!$C:$C,DATE($C$1,$E$1,AI$3),sales_logs!$D:$D,"휴무",sales_logs!$I:$I,FALSE)&gt;0,"휴무",IF(COUNTIFS(sales_logs!$B:$B,$A6,sales_logs!$C:$C,DATE($C$1,$E$1,AI$3),sales_logs!$I:$I,FALSE)=0,"미입력",SUMIFS(sales_logs!$E:$E,sales_logs!$B:$B,$A6,sales_logs!$C:$C,DATE($C$1,$E$1,AI$3),sales_logs!$D:$D,"영업",sales_logs!$I:$I,FALSE)))))))</f>
        <v/>
      </c>
      <c r="AJ6">
        <f>IF($A6="","",IF(MONTH(DATE($C$1,$E$1,AJ$3))&lt;&gt;$E$1,"---",IF(DATE($C$1,$E$1,AJ$3)&gt;TODAY(),"",IF(COUNTIFS(sales_logs!$B:$B,$A6,sales_logs!$C:$C,DATE($C$1,$E$1,AJ$3),sales_logs!$I:$I,TRUE)&gt;0,"중복확인",IF(COUNTIFS(sales_logs!$B:$B,$A6,sales_logs!$C:$C,DATE($C$1,$E$1,AJ$3),sales_logs!$D:$D,"휴무",sales_logs!$I:$I,FALSE)&gt;0,"휴무",IF(COUNTIFS(sales_logs!$B:$B,$A6,sales_logs!$C:$C,DATE($C$1,$E$1,AJ$3),sales_logs!$I:$I,FALSE)=0,"미입력",SUMIFS(sales_logs!$E:$E,sales_logs!$B:$B,$A6,sales_logs!$C:$C,DATE($C$1,$E$1,AJ$3),sales_logs!$D:$D,"영업",sales_logs!$I:$I,FALSE)))))))</f>
        <v/>
      </c>
      <c r="AK6">
        <f>IF($A6="","",IF(MONTH(DATE($C$1,$E$1,AK$3))&lt;&gt;$E$1,"---",IF(DATE($C$1,$E$1,AK$3)&gt;TODAY(),"",IF(COUNTIFS(sales_logs!$B:$B,$A6,sales_logs!$C:$C,DATE($C$1,$E$1,AK$3),sales_logs!$I:$I,TRUE)&gt;0,"중복확인",IF(COUNTIFS(sales_logs!$B:$B,$A6,sales_logs!$C:$C,DATE($C$1,$E$1,AK$3),sales_logs!$D:$D,"휴무",sales_logs!$I:$I,FALSE)&gt;0,"휴무",IF(COUNTIFS(sales_logs!$B:$B,$A6,sales_logs!$C:$C,DATE($C$1,$E$1,AK$3),sales_logs!$I:$I,FALSE)=0,"미입력",SUMIFS(sales_logs!$E:$E,sales_logs!$B:$B,$A6,sales_logs!$C:$C,DATE($C$1,$E$1,AK$3),sales_logs!$D:$D,"영업",sales_logs!$I:$I,FALSE)))))))</f>
        <v/>
      </c>
      <c r="AL6">
        <f>IF($A6="","",IF(MONTH(DATE($C$1,$E$1,AL$3))&lt;&gt;$E$1,"---",IF(DATE($C$1,$E$1,AL$3)&gt;TODAY(),"",IF(COUNTIFS(sales_logs!$B:$B,$A6,sales_logs!$C:$C,DATE($C$1,$E$1,AL$3),sales_logs!$I:$I,TRUE)&gt;0,"중복확인",IF(COUNTIFS(sales_logs!$B:$B,$A6,sales_logs!$C:$C,DATE($C$1,$E$1,AL$3),sales_logs!$D:$D,"휴무",sales_logs!$I:$I,FALSE)&gt;0,"휴무",IF(COUNTIFS(sales_logs!$B:$B,$A6,sales_logs!$C:$C,DATE($C$1,$E$1,AL$3),sales_logs!$I:$I,FALSE)=0,"미입력",SUMIFS(sales_logs!$E:$E,sales_logs!$B:$B,$A6,sales_logs!$C:$C,DATE($C$1,$E$1,AL$3),sales_logs!$D:$D,"영업",sales_logs!$I:$I,FALSE)))))))</f>
        <v/>
      </c>
      <c r="AM6">
        <f>IF($A6="","",IF(MONTH(DATE($C$1,$E$1,AM$3))&lt;&gt;$E$1,"---",IF(DATE($C$1,$E$1,AM$3)&gt;TODAY(),"",IF(COUNTIFS(sales_logs!$B:$B,$A6,sales_logs!$C:$C,DATE($C$1,$E$1,AM$3),sales_logs!$I:$I,TRUE)&gt;0,"중복확인",IF(COUNTIFS(sales_logs!$B:$B,$A6,sales_logs!$C:$C,DATE($C$1,$E$1,AM$3),sales_logs!$D:$D,"휴무",sales_logs!$I:$I,FALSE)&gt;0,"휴무",IF(COUNTIFS(sales_logs!$B:$B,$A6,sales_logs!$C:$C,DATE($C$1,$E$1,AM$3),sales_logs!$I:$I,FALSE)=0,"미입력",SUMIFS(sales_logs!$E:$E,sales_logs!$B:$B,$A6,sales_logs!$C:$C,DATE($C$1,$E$1,AM$3),sales_logs!$D:$D,"영업",sales_logs!$I:$I,FALSE)))))))</f>
        <v/>
      </c>
      <c r="AN6">
        <f>IF($A6="","",IF(MONTH(DATE($C$1,$E$1,AN$3))&lt;&gt;$E$1,"---",IF(DATE($C$1,$E$1,AN$3)&gt;TODAY(),"",IF(COUNTIFS(sales_logs!$B:$B,$A6,sales_logs!$C:$C,DATE($C$1,$E$1,AN$3),sales_logs!$I:$I,TRUE)&gt;0,"중복확인",IF(COUNTIFS(sales_logs!$B:$B,$A6,sales_logs!$C:$C,DATE($C$1,$E$1,AN$3),sales_logs!$D:$D,"휴무",sales_logs!$I:$I,FALSE)&gt;0,"휴무",IF(COUNTIFS(sales_logs!$B:$B,$A6,sales_logs!$C:$C,DATE($C$1,$E$1,AN$3),sales_logs!$I:$I,FALSE)=0,"미입력",SUMIFS(sales_logs!$E:$E,sales_logs!$B:$B,$A6,sales_logs!$C:$C,DATE($C$1,$E$1,AN$3),sales_logs!$D:$D,"영업",sales_logs!$I:$I,FALSE)))))))</f>
        <v/>
      </c>
      <c r="AO6">
        <f>IF($A6="","",IF(MONTH(DATE($C$1,$E$1,AO$3))&lt;&gt;$E$1,"---",IF(DATE($C$1,$E$1,AO$3)&gt;TODAY(),"",IF(COUNTIFS(sales_logs!$B:$B,$A6,sales_logs!$C:$C,DATE($C$1,$E$1,AO$3),sales_logs!$I:$I,TRUE)&gt;0,"중복확인",IF(COUNTIFS(sales_logs!$B:$B,$A6,sales_logs!$C:$C,DATE($C$1,$E$1,AO$3),sales_logs!$D:$D,"휴무",sales_logs!$I:$I,FALSE)&gt;0,"휴무",IF(COUNTIFS(sales_logs!$B:$B,$A6,sales_logs!$C:$C,DATE($C$1,$E$1,AO$3),sales_logs!$I:$I,FALSE)=0,"미입력",SUMIFS(sales_logs!$E:$E,sales_logs!$B:$B,$A6,sales_logs!$C:$C,DATE($C$1,$E$1,AO$3),sales_logs!$D:$D,"영업",sales_logs!$I:$I,FALSE)))))))</f>
        <v/>
      </c>
    </row>
    <row r="7">
      <c r="A7">
        <f>IFERROR(INDEX(FILTER(stores!$A$2:$A,stores!$G$2:$G="active"),ROW()-3),"")</f>
        <v/>
      </c>
      <c r="B7">
        <f>IF($A7="","",VLOOKUP($A7,stores!$A:$B,2,0))</f>
        <v/>
      </c>
      <c r="C7">
        <f>IF($A7="","",VLOOKUP($A7,stores!$A:$C,3,0))</f>
        <v/>
      </c>
      <c r="D7">
        <f>IF($A7="","",IF(DATE($C$1,$E$1,1)&gt;TODAY(),0,IFERROR(COUNTUNIQUE(FILTER(sales_logs!$C$2:$C$1000,sales_logs!$B$2:$B$1000=$A7,sales_logs!$C$2:$C$1000&gt;=DATE($C$1,$E$1,1),sales_logs!$C$2:$C$1000&lt;=MIN(TODAY(),EOMONTH(DATE($C$1,$E$1,1),0)),sales_logs!$I$2:$I$1000=FALSE))/DAY(MIN(TODAY(),EOMONTH(DATE($C$1,$E$1,1),0))),0)))</f>
        <v/>
      </c>
      <c r="E7">
        <f>IF($A7="","",IF(DATE($C$1,$E$1,1)&gt;TODAY(),0,DAY(MIN(TODAY(),EOMONTH(DATE($C$1,$E$1,1),0)))-IFERROR(COUNTUNIQUE(FILTER(sales_logs!$C$2:$C$1000,sales_logs!$B$2:$B$1000=$A7,sales_logs!$C$2:$C$1000&gt;=DATE($C$1,$E$1,1),sales_logs!$C$2:$C$1000&lt;=MIN(TODAY(),EOMONTH(DATE($C$1,$E$1,1),0)),sales_logs!$I$2:$I$1000=FALSE)),0)))</f>
        <v/>
      </c>
      <c r="F7">
        <f>IF($A7="","",COUNTIFS(sales_logs!$B:$B,$A7,sales_logs!$C:$C,"&gt;="&amp;DATE($C$1,$E$1,1),sales_logs!$C:$C,"&lt;="&amp;EOMONTH(DATE($C$1,$E$1,1),0),sales_logs!$D:$D,"휴무",sales_logs!$I:$I,FALSE))</f>
        <v/>
      </c>
      <c r="G7">
        <f>IF($A7="","",COUNTIFS(sales_logs!$B:$B,$A7,sales_logs!$C:$C,"&gt;="&amp;DATE($C$1,$E$1,1),sales_logs!$C:$C,"&lt;="&amp;EOMONTH(DATE($C$1,$E$1,1),0),sales_logs!$D:$D,"영업",sales_logs!$I:$I,FALSE))</f>
        <v/>
      </c>
      <c r="H7">
        <f>IF($A7="","",SUMIFS(sales_logs!$E:$E,sales_logs!$B:$B,$A7,sales_logs!$C:$C,"&gt;="&amp;DATE($C$1,$E$1,1),sales_logs!$C:$C,"&lt;="&amp;EOMONTH(DATE($C$1,$E$1,1),0),sales_logs!$D:$D,"영업",sales_logs!$I:$I,FALSE))</f>
        <v/>
      </c>
      <c r="I7">
        <f>IF(OR($A7="",G7=0),"",H7/G7)</f>
        <v/>
      </c>
      <c r="J7">
        <f>IF($A7="","",LET(cur_end, MIN(TODAY(),EOMONTH(DATE($C$1,$E$1,1),0)),cmp_day, DAY(cur_end),prev_start, DATE($C$1,$E$1-1,1),prev_end, MIN(DATE($C$1,$E$1-1,cmp_day),EOMONTH(DATE($C$1,$E$1-1,1),0)),cur_sales, SUMIFS(sales_logs!$E:$E,sales_logs!$B:$B,$A7,sales_logs!$C:$C,"&gt;="&amp;DATE($C$1,$E$1,1),sales_logs!$C:$C,"&lt;="&amp;cur_end,sales_logs!$D:$D,"영업",sales_logs!$I:$I,FALSE),prev_sales, SUMIFS(sales_logs!$E:$E,sales_logs!$B:$B,$A7,sales_logs!$C:$C,"&gt;="&amp;prev_start,sales_logs!$C:$C,"&lt;="&amp;prev_end,sales_logs!$D:$D,"영업",sales_logs!$I:$I,FALSE),IF(prev_sales=0,"데이터부족",(cur_sales-prev_sales)/prev_sales)))</f>
        <v/>
      </c>
      <c r="K7">
        <f>IF($A7="","",IF(MONTH(DATE($C$1,$E$1,K$3))&lt;&gt;$E$1,"---",IF(DATE($C$1,$E$1,K$3)&gt;TODAY(),"",IF(COUNTIFS(sales_logs!$B:$B,$A7,sales_logs!$C:$C,DATE($C$1,$E$1,K$3),sales_logs!$I:$I,TRUE)&gt;0,"중복확인",IF(COUNTIFS(sales_logs!$B:$B,$A7,sales_logs!$C:$C,DATE($C$1,$E$1,K$3),sales_logs!$D:$D,"휴무",sales_logs!$I:$I,FALSE)&gt;0,"휴무",IF(COUNTIFS(sales_logs!$B:$B,$A7,sales_logs!$C:$C,DATE($C$1,$E$1,K$3),sales_logs!$I:$I,FALSE)=0,"미입력",SUMIFS(sales_logs!$E:$E,sales_logs!$B:$B,$A7,sales_logs!$C:$C,DATE($C$1,$E$1,K$3),sales_logs!$D:$D,"영업",sales_logs!$I:$I,FALSE)))))))</f>
        <v/>
      </c>
      <c r="L7">
        <f>IF($A7="","",IF(MONTH(DATE($C$1,$E$1,L$3))&lt;&gt;$E$1,"---",IF(DATE($C$1,$E$1,L$3)&gt;TODAY(),"",IF(COUNTIFS(sales_logs!$B:$B,$A7,sales_logs!$C:$C,DATE($C$1,$E$1,L$3),sales_logs!$I:$I,TRUE)&gt;0,"중복확인",IF(COUNTIFS(sales_logs!$B:$B,$A7,sales_logs!$C:$C,DATE($C$1,$E$1,L$3),sales_logs!$D:$D,"휴무",sales_logs!$I:$I,FALSE)&gt;0,"휴무",IF(COUNTIFS(sales_logs!$B:$B,$A7,sales_logs!$C:$C,DATE($C$1,$E$1,L$3),sales_logs!$I:$I,FALSE)=0,"미입력",SUMIFS(sales_logs!$E:$E,sales_logs!$B:$B,$A7,sales_logs!$C:$C,DATE($C$1,$E$1,L$3),sales_logs!$D:$D,"영업",sales_logs!$I:$I,FALSE)))))))</f>
        <v/>
      </c>
      <c r="M7">
        <f>IF($A7="","",IF(MONTH(DATE($C$1,$E$1,M$3))&lt;&gt;$E$1,"---",IF(DATE($C$1,$E$1,M$3)&gt;TODAY(),"",IF(COUNTIFS(sales_logs!$B:$B,$A7,sales_logs!$C:$C,DATE($C$1,$E$1,M$3),sales_logs!$I:$I,TRUE)&gt;0,"중복확인",IF(COUNTIFS(sales_logs!$B:$B,$A7,sales_logs!$C:$C,DATE($C$1,$E$1,M$3),sales_logs!$D:$D,"휴무",sales_logs!$I:$I,FALSE)&gt;0,"휴무",IF(COUNTIFS(sales_logs!$B:$B,$A7,sales_logs!$C:$C,DATE($C$1,$E$1,M$3),sales_logs!$I:$I,FALSE)=0,"미입력",SUMIFS(sales_logs!$E:$E,sales_logs!$B:$B,$A7,sales_logs!$C:$C,DATE($C$1,$E$1,M$3),sales_logs!$D:$D,"영업",sales_logs!$I:$I,FALSE)))))))</f>
        <v/>
      </c>
      <c r="N7">
        <f>IF($A7="","",IF(MONTH(DATE($C$1,$E$1,N$3))&lt;&gt;$E$1,"---",IF(DATE($C$1,$E$1,N$3)&gt;TODAY(),"",IF(COUNTIFS(sales_logs!$B:$B,$A7,sales_logs!$C:$C,DATE($C$1,$E$1,N$3),sales_logs!$I:$I,TRUE)&gt;0,"중복확인",IF(COUNTIFS(sales_logs!$B:$B,$A7,sales_logs!$C:$C,DATE($C$1,$E$1,N$3),sales_logs!$D:$D,"휴무",sales_logs!$I:$I,FALSE)&gt;0,"휴무",IF(COUNTIFS(sales_logs!$B:$B,$A7,sales_logs!$C:$C,DATE($C$1,$E$1,N$3),sales_logs!$I:$I,FALSE)=0,"미입력",SUMIFS(sales_logs!$E:$E,sales_logs!$B:$B,$A7,sales_logs!$C:$C,DATE($C$1,$E$1,N$3),sales_logs!$D:$D,"영업",sales_logs!$I:$I,FALSE)))))))</f>
        <v/>
      </c>
      <c r="O7">
        <f>IF($A7="","",IF(MONTH(DATE($C$1,$E$1,O$3))&lt;&gt;$E$1,"---",IF(DATE($C$1,$E$1,O$3)&gt;TODAY(),"",IF(COUNTIFS(sales_logs!$B:$B,$A7,sales_logs!$C:$C,DATE($C$1,$E$1,O$3),sales_logs!$I:$I,TRUE)&gt;0,"중복확인",IF(COUNTIFS(sales_logs!$B:$B,$A7,sales_logs!$C:$C,DATE($C$1,$E$1,O$3),sales_logs!$D:$D,"휴무",sales_logs!$I:$I,FALSE)&gt;0,"휴무",IF(COUNTIFS(sales_logs!$B:$B,$A7,sales_logs!$C:$C,DATE($C$1,$E$1,O$3),sales_logs!$I:$I,FALSE)=0,"미입력",SUMIFS(sales_logs!$E:$E,sales_logs!$B:$B,$A7,sales_logs!$C:$C,DATE($C$1,$E$1,O$3),sales_logs!$D:$D,"영업",sales_logs!$I:$I,FALSE)))))))</f>
        <v/>
      </c>
      <c r="P7">
        <f>IF($A7="","",IF(MONTH(DATE($C$1,$E$1,P$3))&lt;&gt;$E$1,"---",IF(DATE($C$1,$E$1,P$3)&gt;TODAY(),"",IF(COUNTIFS(sales_logs!$B:$B,$A7,sales_logs!$C:$C,DATE($C$1,$E$1,P$3),sales_logs!$I:$I,TRUE)&gt;0,"중복확인",IF(COUNTIFS(sales_logs!$B:$B,$A7,sales_logs!$C:$C,DATE($C$1,$E$1,P$3),sales_logs!$D:$D,"휴무",sales_logs!$I:$I,FALSE)&gt;0,"휴무",IF(COUNTIFS(sales_logs!$B:$B,$A7,sales_logs!$C:$C,DATE($C$1,$E$1,P$3),sales_logs!$I:$I,FALSE)=0,"미입력",SUMIFS(sales_logs!$E:$E,sales_logs!$B:$B,$A7,sales_logs!$C:$C,DATE($C$1,$E$1,P$3),sales_logs!$D:$D,"영업",sales_logs!$I:$I,FALSE)))))))</f>
        <v/>
      </c>
      <c r="Q7">
        <f>IF($A7="","",IF(MONTH(DATE($C$1,$E$1,Q$3))&lt;&gt;$E$1,"---",IF(DATE($C$1,$E$1,Q$3)&gt;TODAY(),"",IF(COUNTIFS(sales_logs!$B:$B,$A7,sales_logs!$C:$C,DATE($C$1,$E$1,Q$3),sales_logs!$I:$I,TRUE)&gt;0,"중복확인",IF(COUNTIFS(sales_logs!$B:$B,$A7,sales_logs!$C:$C,DATE($C$1,$E$1,Q$3),sales_logs!$D:$D,"휴무",sales_logs!$I:$I,FALSE)&gt;0,"휴무",IF(COUNTIFS(sales_logs!$B:$B,$A7,sales_logs!$C:$C,DATE($C$1,$E$1,Q$3),sales_logs!$I:$I,FALSE)=0,"미입력",SUMIFS(sales_logs!$E:$E,sales_logs!$B:$B,$A7,sales_logs!$C:$C,DATE($C$1,$E$1,Q$3),sales_logs!$D:$D,"영업",sales_logs!$I:$I,FALSE)))))))</f>
        <v/>
      </c>
      <c r="R7">
        <f>IF($A7="","",IF(MONTH(DATE($C$1,$E$1,R$3))&lt;&gt;$E$1,"---",IF(DATE($C$1,$E$1,R$3)&gt;TODAY(),"",IF(COUNTIFS(sales_logs!$B:$B,$A7,sales_logs!$C:$C,DATE($C$1,$E$1,R$3),sales_logs!$I:$I,TRUE)&gt;0,"중복확인",IF(COUNTIFS(sales_logs!$B:$B,$A7,sales_logs!$C:$C,DATE($C$1,$E$1,R$3),sales_logs!$D:$D,"휴무",sales_logs!$I:$I,FALSE)&gt;0,"휴무",IF(COUNTIFS(sales_logs!$B:$B,$A7,sales_logs!$C:$C,DATE($C$1,$E$1,R$3),sales_logs!$I:$I,FALSE)=0,"미입력",SUMIFS(sales_logs!$E:$E,sales_logs!$B:$B,$A7,sales_logs!$C:$C,DATE($C$1,$E$1,R$3),sales_logs!$D:$D,"영업",sales_logs!$I:$I,FALSE)))))))</f>
        <v/>
      </c>
      <c r="S7">
        <f>IF($A7="","",IF(MONTH(DATE($C$1,$E$1,S$3))&lt;&gt;$E$1,"---",IF(DATE($C$1,$E$1,S$3)&gt;TODAY(),"",IF(COUNTIFS(sales_logs!$B:$B,$A7,sales_logs!$C:$C,DATE($C$1,$E$1,S$3),sales_logs!$I:$I,TRUE)&gt;0,"중복확인",IF(COUNTIFS(sales_logs!$B:$B,$A7,sales_logs!$C:$C,DATE($C$1,$E$1,S$3),sales_logs!$D:$D,"휴무",sales_logs!$I:$I,FALSE)&gt;0,"휴무",IF(COUNTIFS(sales_logs!$B:$B,$A7,sales_logs!$C:$C,DATE($C$1,$E$1,S$3),sales_logs!$I:$I,FALSE)=0,"미입력",SUMIFS(sales_logs!$E:$E,sales_logs!$B:$B,$A7,sales_logs!$C:$C,DATE($C$1,$E$1,S$3),sales_logs!$D:$D,"영업",sales_logs!$I:$I,FALSE)))))))</f>
        <v/>
      </c>
      <c r="T7">
        <f>IF($A7="","",IF(MONTH(DATE($C$1,$E$1,T$3))&lt;&gt;$E$1,"---",IF(DATE($C$1,$E$1,T$3)&gt;TODAY(),"",IF(COUNTIFS(sales_logs!$B:$B,$A7,sales_logs!$C:$C,DATE($C$1,$E$1,T$3),sales_logs!$I:$I,TRUE)&gt;0,"중복확인",IF(COUNTIFS(sales_logs!$B:$B,$A7,sales_logs!$C:$C,DATE($C$1,$E$1,T$3),sales_logs!$D:$D,"휴무",sales_logs!$I:$I,FALSE)&gt;0,"휴무",IF(COUNTIFS(sales_logs!$B:$B,$A7,sales_logs!$C:$C,DATE($C$1,$E$1,T$3),sales_logs!$I:$I,FALSE)=0,"미입력",SUMIFS(sales_logs!$E:$E,sales_logs!$B:$B,$A7,sales_logs!$C:$C,DATE($C$1,$E$1,T$3),sales_logs!$D:$D,"영업",sales_logs!$I:$I,FALSE)))))))</f>
        <v/>
      </c>
      <c r="U7">
        <f>IF($A7="","",IF(MONTH(DATE($C$1,$E$1,U$3))&lt;&gt;$E$1,"---",IF(DATE($C$1,$E$1,U$3)&gt;TODAY(),"",IF(COUNTIFS(sales_logs!$B:$B,$A7,sales_logs!$C:$C,DATE($C$1,$E$1,U$3),sales_logs!$I:$I,TRUE)&gt;0,"중복확인",IF(COUNTIFS(sales_logs!$B:$B,$A7,sales_logs!$C:$C,DATE($C$1,$E$1,U$3),sales_logs!$D:$D,"휴무",sales_logs!$I:$I,FALSE)&gt;0,"휴무",IF(COUNTIFS(sales_logs!$B:$B,$A7,sales_logs!$C:$C,DATE($C$1,$E$1,U$3),sales_logs!$I:$I,FALSE)=0,"미입력",SUMIFS(sales_logs!$E:$E,sales_logs!$B:$B,$A7,sales_logs!$C:$C,DATE($C$1,$E$1,U$3),sales_logs!$D:$D,"영업",sales_logs!$I:$I,FALSE)))))))</f>
        <v/>
      </c>
      <c r="V7">
        <f>IF($A7="","",IF(MONTH(DATE($C$1,$E$1,V$3))&lt;&gt;$E$1,"---",IF(DATE($C$1,$E$1,V$3)&gt;TODAY(),"",IF(COUNTIFS(sales_logs!$B:$B,$A7,sales_logs!$C:$C,DATE($C$1,$E$1,V$3),sales_logs!$I:$I,TRUE)&gt;0,"중복확인",IF(COUNTIFS(sales_logs!$B:$B,$A7,sales_logs!$C:$C,DATE($C$1,$E$1,V$3),sales_logs!$D:$D,"휴무",sales_logs!$I:$I,FALSE)&gt;0,"휴무",IF(COUNTIFS(sales_logs!$B:$B,$A7,sales_logs!$C:$C,DATE($C$1,$E$1,V$3),sales_logs!$I:$I,FALSE)=0,"미입력",SUMIFS(sales_logs!$E:$E,sales_logs!$B:$B,$A7,sales_logs!$C:$C,DATE($C$1,$E$1,V$3),sales_logs!$D:$D,"영업",sales_logs!$I:$I,FALSE)))))))</f>
        <v/>
      </c>
      <c r="W7">
        <f>IF($A7="","",IF(MONTH(DATE($C$1,$E$1,W$3))&lt;&gt;$E$1,"---",IF(DATE($C$1,$E$1,W$3)&gt;TODAY(),"",IF(COUNTIFS(sales_logs!$B:$B,$A7,sales_logs!$C:$C,DATE($C$1,$E$1,W$3),sales_logs!$I:$I,TRUE)&gt;0,"중복확인",IF(COUNTIFS(sales_logs!$B:$B,$A7,sales_logs!$C:$C,DATE($C$1,$E$1,W$3),sales_logs!$D:$D,"휴무",sales_logs!$I:$I,FALSE)&gt;0,"휴무",IF(COUNTIFS(sales_logs!$B:$B,$A7,sales_logs!$C:$C,DATE($C$1,$E$1,W$3),sales_logs!$I:$I,FALSE)=0,"미입력",SUMIFS(sales_logs!$E:$E,sales_logs!$B:$B,$A7,sales_logs!$C:$C,DATE($C$1,$E$1,W$3),sales_logs!$D:$D,"영업",sales_logs!$I:$I,FALSE)))))))</f>
        <v/>
      </c>
      <c r="X7">
        <f>IF($A7="","",IF(MONTH(DATE($C$1,$E$1,X$3))&lt;&gt;$E$1,"---",IF(DATE($C$1,$E$1,X$3)&gt;TODAY(),"",IF(COUNTIFS(sales_logs!$B:$B,$A7,sales_logs!$C:$C,DATE($C$1,$E$1,X$3),sales_logs!$I:$I,TRUE)&gt;0,"중복확인",IF(COUNTIFS(sales_logs!$B:$B,$A7,sales_logs!$C:$C,DATE($C$1,$E$1,X$3),sales_logs!$D:$D,"휴무",sales_logs!$I:$I,FALSE)&gt;0,"휴무",IF(COUNTIFS(sales_logs!$B:$B,$A7,sales_logs!$C:$C,DATE($C$1,$E$1,X$3),sales_logs!$I:$I,FALSE)=0,"미입력",SUMIFS(sales_logs!$E:$E,sales_logs!$B:$B,$A7,sales_logs!$C:$C,DATE($C$1,$E$1,X$3),sales_logs!$D:$D,"영업",sales_logs!$I:$I,FALSE)))))))</f>
        <v/>
      </c>
      <c r="Y7">
        <f>IF($A7="","",IF(MONTH(DATE($C$1,$E$1,Y$3))&lt;&gt;$E$1,"---",IF(DATE($C$1,$E$1,Y$3)&gt;TODAY(),"",IF(COUNTIFS(sales_logs!$B:$B,$A7,sales_logs!$C:$C,DATE($C$1,$E$1,Y$3),sales_logs!$I:$I,TRUE)&gt;0,"중복확인",IF(COUNTIFS(sales_logs!$B:$B,$A7,sales_logs!$C:$C,DATE($C$1,$E$1,Y$3),sales_logs!$D:$D,"휴무",sales_logs!$I:$I,FALSE)&gt;0,"휴무",IF(COUNTIFS(sales_logs!$B:$B,$A7,sales_logs!$C:$C,DATE($C$1,$E$1,Y$3),sales_logs!$I:$I,FALSE)=0,"미입력",SUMIFS(sales_logs!$E:$E,sales_logs!$B:$B,$A7,sales_logs!$C:$C,DATE($C$1,$E$1,Y$3),sales_logs!$D:$D,"영업",sales_logs!$I:$I,FALSE)))))))</f>
        <v/>
      </c>
      <c r="Z7">
        <f>IF($A7="","",IF(MONTH(DATE($C$1,$E$1,Z$3))&lt;&gt;$E$1,"---",IF(DATE($C$1,$E$1,Z$3)&gt;TODAY(),"",IF(COUNTIFS(sales_logs!$B:$B,$A7,sales_logs!$C:$C,DATE($C$1,$E$1,Z$3),sales_logs!$I:$I,TRUE)&gt;0,"중복확인",IF(COUNTIFS(sales_logs!$B:$B,$A7,sales_logs!$C:$C,DATE($C$1,$E$1,Z$3),sales_logs!$D:$D,"휴무",sales_logs!$I:$I,FALSE)&gt;0,"휴무",IF(COUNTIFS(sales_logs!$B:$B,$A7,sales_logs!$C:$C,DATE($C$1,$E$1,Z$3),sales_logs!$I:$I,FALSE)=0,"미입력",SUMIFS(sales_logs!$E:$E,sales_logs!$B:$B,$A7,sales_logs!$C:$C,DATE($C$1,$E$1,Z$3),sales_logs!$D:$D,"영업",sales_logs!$I:$I,FALSE)))))))</f>
        <v/>
      </c>
      <c r="AA7">
        <f>IF($A7="","",IF(MONTH(DATE($C$1,$E$1,AA$3))&lt;&gt;$E$1,"---",IF(DATE($C$1,$E$1,AA$3)&gt;TODAY(),"",IF(COUNTIFS(sales_logs!$B:$B,$A7,sales_logs!$C:$C,DATE($C$1,$E$1,AA$3),sales_logs!$I:$I,TRUE)&gt;0,"중복확인",IF(COUNTIFS(sales_logs!$B:$B,$A7,sales_logs!$C:$C,DATE($C$1,$E$1,AA$3),sales_logs!$D:$D,"휴무",sales_logs!$I:$I,FALSE)&gt;0,"휴무",IF(COUNTIFS(sales_logs!$B:$B,$A7,sales_logs!$C:$C,DATE($C$1,$E$1,AA$3),sales_logs!$I:$I,FALSE)=0,"미입력",SUMIFS(sales_logs!$E:$E,sales_logs!$B:$B,$A7,sales_logs!$C:$C,DATE($C$1,$E$1,AA$3),sales_logs!$D:$D,"영업",sales_logs!$I:$I,FALSE)))))))</f>
        <v/>
      </c>
      <c r="AB7">
        <f>IF($A7="","",IF(MONTH(DATE($C$1,$E$1,AB$3))&lt;&gt;$E$1,"---",IF(DATE($C$1,$E$1,AB$3)&gt;TODAY(),"",IF(COUNTIFS(sales_logs!$B:$B,$A7,sales_logs!$C:$C,DATE($C$1,$E$1,AB$3),sales_logs!$I:$I,TRUE)&gt;0,"중복확인",IF(COUNTIFS(sales_logs!$B:$B,$A7,sales_logs!$C:$C,DATE($C$1,$E$1,AB$3),sales_logs!$D:$D,"휴무",sales_logs!$I:$I,FALSE)&gt;0,"휴무",IF(COUNTIFS(sales_logs!$B:$B,$A7,sales_logs!$C:$C,DATE($C$1,$E$1,AB$3),sales_logs!$I:$I,FALSE)=0,"미입력",SUMIFS(sales_logs!$E:$E,sales_logs!$B:$B,$A7,sales_logs!$C:$C,DATE($C$1,$E$1,AB$3),sales_logs!$D:$D,"영업",sales_logs!$I:$I,FALSE)))))))</f>
        <v/>
      </c>
      <c r="AC7">
        <f>IF($A7="","",IF(MONTH(DATE($C$1,$E$1,AC$3))&lt;&gt;$E$1,"---",IF(DATE($C$1,$E$1,AC$3)&gt;TODAY(),"",IF(COUNTIFS(sales_logs!$B:$B,$A7,sales_logs!$C:$C,DATE($C$1,$E$1,AC$3),sales_logs!$I:$I,TRUE)&gt;0,"중복확인",IF(COUNTIFS(sales_logs!$B:$B,$A7,sales_logs!$C:$C,DATE($C$1,$E$1,AC$3),sales_logs!$D:$D,"휴무",sales_logs!$I:$I,FALSE)&gt;0,"휴무",IF(COUNTIFS(sales_logs!$B:$B,$A7,sales_logs!$C:$C,DATE($C$1,$E$1,AC$3),sales_logs!$I:$I,FALSE)=0,"미입력",SUMIFS(sales_logs!$E:$E,sales_logs!$B:$B,$A7,sales_logs!$C:$C,DATE($C$1,$E$1,AC$3),sales_logs!$D:$D,"영업",sales_logs!$I:$I,FALSE)))))))</f>
        <v/>
      </c>
      <c r="AD7">
        <f>IF($A7="","",IF(MONTH(DATE($C$1,$E$1,AD$3))&lt;&gt;$E$1,"---",IF(DATE($C$1,$E$1,AD$3)&gt;TODAY(),"",IF(COUNTIFS(sales_logs!$B:$B,$A7,sales_logs!$C:$C,DATE($C$1,$E$1,AD$3),sales_logs!$I:$I,TRUE)&gt;0,"중복확인",IF(COUNTIFS(sales_logs!$B:$B,$A7,sales_logs!$C:$C,DATE($C$1,$E$1,AD$3),sales_logs!$D:$D,"휴무",sales_logs!$I:$I,FALSE)&gt;0,"휴무",IF(COUNTIFS(sales_logs!$B:$B,$A7,sales_logs!$C:$C,DATE($C$1,$E$1,AD$3),sales_logs!$I:$I,FALSE)=0,"미입력",SUMIFS(sales_logs!$E:$E,sales_logs!$B:$B,$A7,sales_logs!$C:$C,DATE($C$1,$E$1,AD$3),sales_logs!$D:$D,"영업",sales_logs!$I:$I,FALSE)))))))</f>
        <v/>
      </c>
      <c r="AE7">
        <f>IF($A7="","",IF(MONTH(DATE($C$1,$E$1,AE$3))&lt;&gt;$E$1,"---",IF(DATE($C$1,$E$1,AE$3)&gt;TODAY(),"",IF(COUNTIFS(sales_logs!$B:$B,$A7,sales_logs!$C:$C,DATE($C$1,$E$1,AE$3),sales_logs!$I:$I,TRUE)&gt;0,"중복확인",IF(COUNTIFS(sales_logs!$B:$B,$A7,sales_logs!$C:$C,DATE($C$1,$E$1,AE$3),sales_logs!$D:$D,"휴무",sales_logs!$I:$I,FALSE)&gt;0,"휴무",IF(COUNTIFS(sales_logs!$B:$B,$A7,sales_logs!$C:$C,DATE($C$1,$E$1,AE$3),sales_logs!$I:$I,FALSE)=0,"미입력",SUMIFS(sales_logs!$E:$E,sales_logs!$B:$B,$A7,sales_logs!$C:$C,DATE($C$1,$E$1,AE$3),sales_logs!$D:$D,"영업",sales_logs!$I:$I,FALSE)))))))</f>
        <v/>
      </c>
      <c r="AF7">
        <f>IF($A7="","",IF(MONTH(DATE($C$1,$E$1,AF$3))&lt;&gt;$E$1,"---",IF(DATE($C$1,$E$1,AF$3)&gt;TODAY(),"",IF(COUNTIFS(sales_logs!$B:$B,$A7,sales_logs!$C:$C,DATE($C$1,$E$1,AF$3),sales_logs!$I:$I,TRUE)&gt;0,"중복확인",IF(COUNTIFS(sales_logs!$B:$B,$A7,sales_logs!$C:$C,DATE($C$1,$E$1,AF$3),sales_logs!$D:$D,"휴무",sales_logs!$I:$I,FALSE)&gt;0,"휴무",IF(COUNTIFS(sales_logs!$B:$B,$A7,sales_logs!$C:$C,DATE($C$1,$E$1,AF$3),sales_logs!$I:$I,FALSE)=0,"미입력",SUMIFS(sales_logs!$E:$E,sales_logs!$B:$B,$A7,sales_logs!$C:$C,DATE($C$1,$E$1,AF$3),sales_logs!$D:$D,"영업",sales_logs!$I:$I,FALSE)))))))</f>
        <v/>
      </c>
      <c r="AG7">
        <f>IF($A7="","",IF(MONTH(DATE($C$1,$E$1,AG$3))&lt;&gt;$E$1,"---",IF(DATE($C$1,$E$1,AG$3)&gt;TODAY(),"",IF(COUNTIFS(sales_logs!$B:$B,$A7,sales_logs!$C:$C,DATE($C$1,$E$1,AG$3),sales_logs!$I:$I,TRUE)&gt;0,"중복확인",IF(COUNTIFS(sales_logs!$B:$B,$A7,sales_logs!$C:$C,DATE($C$1,$E$1,AG$3),sales_logs!$D:$D,"휴무",sales_logs!$I:$I,FALSE)&gt;0,"휴무",IF(COUNTIFS(sales_logs!$B:$B,$A7,sales_logs!$C:$C,DATE($C$1,$E$1,AG$3),sales_logs!$I:$I,FALSE)=0,"미입력",SUMIFS(sales_logs!$E:$E,sales_logs!$B:$B,$A7,sales_logs!$C:$C,DATE($C$1,$E$1,AG$3),sales_logs!$D:$D,"영업",sales_logs!$I:$I,FALSE)))))))</f>
        <v/>
      </c>
      <c r="AH7">
        <f>IF($A7="","",IF(MONTH(DATE($C$1,$E$1,AH$3))&lt;&gt;$E$1,"---",IF(DATE($C$1,$E$1,AH$3)&gt;TODAY(),"",IF(COUNTIFS(sales_logs!$B:$B,$A7,sales_logs!$C:$C,DATE($C$1,$E$1,AH$3),sales_logs!$I:$I,TRUE)&gt;0,"중복확인",IF(COUNTIFS(sales_logs!$B:$B,$A7,sales_logs!$C:$C,DATE($C$1,$E$1,AH$3),sales_logs!$D:$D,"휴무",sales_logs!$I:$I,FALSE)&gt;0,"휴무",IF(COUNTIFS(sales_logs!$B:$B,$A7,sales_logs!$C:$C,DATE($C$1,$E$1,AH$3),sales_logs!$I:$I,FALSE)=0,"미입력",SUMIFS(sales_logs!$E:$E,sales_logs!$B:$B,$A7,sales_logs!$C:$C,DATE($C$1,$E$1,AH$3),sales_logs!$D:$D,"영업",sales_logs!$I:$I,FALSE)))))))</f>
        <v/>
      </c>
      <c r="AI7">
        <f>IF($A7="","",IF(MONTH(DATE($C$1,$E$1,AI$3))&lt;&gt;$E$1,"---",IF(DATE($C$1,$E$1,AI$3)&gt;TODAY(),"",IF(COUNTIFS(sales_logs!$B:$B,$A7,sales_logs!$C:$C,DATE($C$1,$E$1,AI$3),sales_logs!$I:$I,TRUE)&gt;0,"중복확인",IF(COUNTIFS(sales_logs!$B:$B,$A7,sales_logs!$C:$C,DATE($C$1,$E$1,AI$3),sales_logs!$D:$D,"휴무",sales_logs!$I:$I,FALSE)&gt;0,"휴무",IF(COUNTIFS(sales_logs!$B:$B,$A7,sales_logs!$C:$C,DATE($C$1,$E$1,AI$3),sales_logs!$I:$I,FALSE)=0,"미입력",SUMIFS(sales_logs!$E:$E,sales_logs!$B:$B,$A7,sales_logs!$C:$C,DATE($C$1,$E$1,AI$3),sales_logs!$D:$D,"영업",sales_logs!$I:$I,FALSE)))))))</f>
        <v/>
      </c>
      <c r="AJ7">
        <f>IF($A7="","",IF(MONTH(DATE($C$1,$E$1,AJ$3))&lt;&gt;$E$1,"---",IF(DATE($C$1,$E$1,AJ$3)&gt;TODAY(),"",IF(COUNTIFS(sales_logs!$B:$B,$A7,sales_logs!$C:$C,DATE($C$1,$E$1,AJ$3),sales_logs!$I:$I,TRUE)&gt;0,"중복확인",IF(COUNTIFS(sales_logs!$B:$B,$A7,sales_logs!$C:$C,DATE($C$1,$E$1,AJ$3),sales_logs!$D:$D,"휴무",sales_logs!$I:$I,FALSE)&gt;0,"휴무",IF(COUNTIFS(sales_logs!$B:$B,$A7,sales_logs!$C:$C,DATE($C$1,$E$1,AJ$3),sales_logs!$I:$I,FALSE)=0,"미입력",SUMIFS(sales_logs!$E:$E,sales_logs!$B:$B,$A7,sales_logs!$C:$C,DATE($C$1,$E$1,AJ$3),sales_logs!$D:$D,"영업",sales_logs!$I:$I,FALSE)))))))</f>
        <v/>
      </c>
      <c r="AK7">
        <f>IF($A7="","",IF(MONTH(DATE($C$1,$E$1,AK$3))&lt;&gt;$E$1,"---",IF(DATE($C$1,$E$1,AK$3)&gt;TODAY(),"",IF(COUNTIFS(sales_logs!$B:$B,$A7,sales_logs!$C:$C,DATE($C$1,$E$1,AK$3),sales_logs!$I:$I,TRUE)&gt;0,"중복확인",IF(COUNTIFS(sales_logs!$B:$B,$A7,sales_logs!$C:$C,DATE($C$1,$E$1,AK$3),sales_logs!$D:$D,"휴무",sales_logs!$I:$I,FALSE)&gt;0,"휴무",IF(COUNTIFS(sales_logs!$B:$B,$A7,sales_logs!$C:$C,DATE($C$1,$E$1,AK$3),sales_logs!$I:$I,FALSE)=0,"미입력",SUMIFS(sales_logs!$E:$E,sales_logs!$B:$B,$A7,sales_logs!$C:$C,DATE($C$1,$E$1,AK$3),sales_logs!$D:$D,"영업",sales_logs!$I:$I,FALSE)))))))</f>
        <v/>
      </c>
      <c r="AL7">
        <f>IF($A7="","",IF(MONTH(DATE($C$1,$E$1,AL$3))&lt;&gt;$E$1,"---",IF(DATE($C$1,$E$1,AL$3)&gt;TODAY(),"",IF(COUNTIFS(sales_logs!$B:$B,$A7,sales_logs!$C:$C,DATE($C$1,$E$1,AL$3),sales_logs!$I:$I,TRUE)&gt;0,"중복확인",IF(COUNTIFS(sales_logs!$B:$B,$A7,sales_logs!$C:$C,DATE($C$1,$E$1,AL$3),sales_logs!$D:$D,"휴무",sales_logs!$I:$I,FALSE)&gt;0,"휴무",IF(COUNTIFS(sales_logs!$B:$B,$A7,sales_logs!$C:$C,DATE($C$1,$E$1,AL$3),sales_logs!$I:$I,FALSE)=0,"미입력",SUMIFS(sales_logs!$E:$E,sales_logs!$B:$B,$A7,sales_logs!$C:$C,DATE($C$1,$E$1,AL$3),sales_logs!$D:$D,"영업",sales_logs!$I:$I,FALSE)))))))</f>
        <v/>
      </c>
      <c r="AM7">
        <f>IF($A7="","",IF(MONTH(DATE($C$1,$E$1,AM$3))&lt;&gt;$E$1,"---",IF(DATE($C$1,$E$1,AM$3)&gt;TODAY(),"",IF(COUNTIFS(sales_logs!$B:$B,$A7,sales_logs!$C:$C,DATE($C$1,$E$1,AM$3),sales_logs!$I:$I,TRUE)&gt;0,"중복확인",IF(COUNTIFS(sales_logs!$B:$B,$A7,sales_logs!$C:$C,DATE($C$1,$E$1,AM$3),sales_logs!$D:$D,"휴무",sales_logs!$I:$I,FALSE)&gt;0,"휴무",IF(COUNTIFS(sales_logs!$B:$B,$A7,sales_logs!$C:$C,DATE($C$1,$E$1,AM$3),sales_logs!$I:$I,FALSE)=0,"미입력",SUMIFS(sales_logs!$E:$E,sales_logs!$B:$B,$A7,sales_logs!$C:$C,DATE($C$1,$E$1,AM$3),sales_logs!$D:$D,"영업",sales_logs!$I:$I,FALSE)))))))</f>
        <v/>
      </c>
      <c r="AN7">
        <f>IF($A7="","",IF(MONTH(DATE($C$1,$E$1,AN$3))&lt;&gt;$E$1,"---",IF(DATE($C$1,$E$1,AN$3)&gt;TODAY(),"",IF(COUNTIFS(sales_logs!$B:$B,$A7,sales_logs!$C:$C,DATE($C$1,$E$1,AN$3),sales_logs!$I:$I,TRUE)&gt;0,"중복확인",IF(COUNTIFS(sales_logs!$B:$B,$A7,sales_logs!$C:$C,DATE($C$1,$E$1,AN$3),sales_logs!$D:$D,"휴무",sales_logs!$I:$I,FALSE)&gt;0,"휴무",IF(COUNTIFS(sales_logs!$B:$B,$A7,sales_logs!$C:$C,DATE($C$1,$E$1,AN$3),sales_logs!$I:$I,FALSE)=0,"미입력",SUMIFS(sales_logs!$E:$E,sales_logs!$B:$B,$A7,sales_logs!$C:$C,DATE($C$1,$E$1,AN$3),sales_logs!$D:$D,"영업",sales_logs!$I:$I,FALSE)))))))</f>
        <v/>
      </c>
      <c r="AO7">
        <f>IF($A7="","",IF(MONTH(DATE($C$1,$E$1,AO$3))&lt;&gt;$E$1,"---",IF(DATE($C$1,$E$1,AO$3)&gt;TODAY(),"",IF(COUNTIFS(sales_logs!$B:$B,$A7,sales_logs!$C:$C,DATE($C$1,$E$1,AO$3),sales_logs!$I:$I,TRUE)&gt;0,"중복확인",IF(COUNTIFS(sales_logs!$B:$B,$A7,sales_logs!$C:$C,DATE($C$1,$E$1,AO$3),sales_logs!$D:$D,"휴무",sales_logs!$I:$I,FALSE)&gt;0,"휴무",IF(COUNTIFS(sales_logs!$B:$B,$A7,sales_logs!$C:$C,DATE($C$1,$E$1,AO$3),sales_logs!$I:$I,FALSE)=0,"미입력",SUMIFS(sales_logs!$E:$E,sales_logs!$B:$B,$A7,sales_logs!$C:$C,DATE($C$1,$E$1,AO$3),sales_logs!$D:$D,"영업",sales_logs!$I:$I,FALSE)))))))</f>
        <v/>
      </c>
    </row>
    <row r="8">
      <c r="A8">
        <f>IFERROR(INDEX(FILTER(stores!$A$2:$A,stores!$G$2:$G="active"),ROW()-3),"")</f>
        <v/>
      </c>
      <c r="B8">
        <f>IF($A8="","",VLOOKUP($A8,stores!$A:$B,2,0))</f>
        <v/>
      </c>
      <c r="C8">
        <f>IF($A8="","",VLOOKUP($A8,stores!$A:$C,3,0))</f>
        <v/>
      </c>
      <c r="D8">
        <f>IF($A8="","",IF(DATE($C$1,$E$1,1)&gt;TODAY(),0,IFERROR(COUNTUNIQUE(FILTER(sales_logs!$C$2:$C$1000,sales_logs!$B$2:$B$1000=$A8,sales_logs!$C$2:$C$1000&gt;=DATE($C$1,$E$1,1),sales_logs!$C$2:$C$1000&lt;=MIN(TODAY(),EOMONTH(DATE($C$1,$E$1,1),0)),sales_logs!$I$2:$I$1000=FALSE))/DAY(MIN(TODAY(),EOMONTH(DATE($C$1,$E$1,1),0))),0)))</f>
        <v/>
      </c>
      <c r="E8">
        <f>IF($A8="","",IF(DATE($C$1,$E$1,1)&gt;TODAY(),0,DAY(MIN(TODAY(),EOMONTH(DATE($C$1,$E$1,1),0)))-IFERROR(COUNTUNIQUE(FILTER(sales_logs!$C$2:$C$1000,sales_logs!$B$2:$B$1000=$A8,sales_logs!$C$2:$C$1000&gt;=DATE($C$1,$E$1,1),sales_logs!$C$2:$C$1000&lt;=MIN(TODAY(),EOMONTH(DATE($C$1,$E$1,1),0)),sales_logs!$I$2:$I$1000=FALSE)),0)))</f>
        <v/>
      </c>
      <c r="F8">
        <f>IF($A8="","",COUNTIFS(sales_logs!$B:$B,$A8,sales_logs!$C:$C,"&gt;="&amp;DATE($C$1,$E$1,1),sales_logs!$C:$C,"&lt;="&amp;EOMONTH(DATE($C$1,$E$1,1),0),sales_logs!$D:$D,"휴무",sales_logs!$I:$I,FALSE))</f>
        <v/>
      </c>
      <c r="G8">
        <f>IF($A8="","",COUNTIFS(sales_logs!$B:$B,$A8,sales_logs!$C:$C,"&gt;="&amp;DATE($C$1,$E$1,1),sales_logs!$C:$C,"&lt;="&amp;EOMONTH(DATE($C$1,$E$1,1),0),sales_logs!$D:$D,"영업",sales_logs!$I:$I,FALSE))</f>
        <v/>
      </c>
      <c r="H8">
        <f>IF($A8="","",SUMIFS(sales_logs!$E:$E,sales_logs!$B:$B,$A8,sales_logs!$C:$C,"&gt;="&amp;DATE($C$1,$E$1,1),sales_logs!$C:$C,"&lt;="&amp;EOMONTH(DATE($C$1,$E$1,1),0),sales_logs!$D:$D,"영업",sales_logs!$I:$I,FALSE))</f>
        <v/>
      </c>
      <c r="I8">
        <f>IF(OR($A8="",G8=0),"",H8/G8)</f>
        <v/>
      </c>
      <c r="J8">
        <f>IF($A8="","",LET(cur_end, MIN(TODAY(),EOMONTH(DATE($C$1,$E$1,1),0)),cmp_day, DAY(cur_end),prev_start, DATE($C$1,$E$1-1,1),prev_end, MIN(DATE($C$1,$E$1-1,cmp_day),EOMONTH(DATE($C$1,$E$1-1,1),0)),cur_sales, SUMIFS(sales_logs!$E:$E,sales_logs!$B:$B,$A8,sales_logs!$C:$C,"&gt;="&amp;DATE($C$1,$E$1,1),sales_logs!$C:$C,"&lt;="&amp;cur_end,sales_logs!$D:$D,"영업",sales_logs!$I:$I,FALSE),prev_sales, SUMIFS(sales_logs!$E:$E,sales_logs!$B:$B,$A8,sales_logs!$C:$C,"&gt;="&amp;prev_start,sales_logs!$C:$C,"&lt;="&amp;prev_end,sales_logs!$D:$D,"영업",sales_logs!$I:$I,FALSE),IF(prev_sales=0,"데이터부족",(cur_sales-prev_sales)/prev_sales)))</f>
        <v/>
      </c>
      <c r="K8">
        <f>IF($A8="","",IF(MONTH(DATE($C$1,$E$1,K$3))&lt;&gt;$E$1,"---",IF(DATE($C$1,$E$1,K$3)&gt;TODAY(),"",IF(COUNTIFS(sales_logs!$B:$B,$A8,sales_logs!$C:$C,DATE($C$1,$E$1,K$3),sales_logs!$I:$I,TRUE)&gt;0,"중복확인",IF(COUNTIFS(sales_logs!$B:$B,$A8,sales_logs!$C:$C,DATE($C$1,$E$1,K$3),sales_logs!$D:$D,"휴무",sales_logs!$I:$I,FALSE)&gt;0,"휴무",IF(COUNTIFS(sales_logs!$B:$B,$A8,sales_logs!$C:$C,DATE($C$1,$E$1,K$3),sales_logs!$I:$I,FALSE)=0,"미입력",SUMIFS(sales_logs!$E:$E,sales_logs!$B:$B,$A8,sales_logs!$C:$C,DATE($C$1,$E$1,K$3),sales_logs!$D:$D,"영업",sales_logs!$I:$I,FALSE)))))))</f>
        <v/>
      </c>
      <c r="L8">
        <f>IF($A8="","",IF(MONTH(DATE($C$1,$E$1,L$3))&lt;&gt;$E$1,"---",IF(DATE($C$1,$E$1,L$3)&gt;TODAY(),"",IF(COUNTIFS(sales_logs!$B:$B,$A8,sales_logs!$C:$C,DATE($C$1,$E$1,L$3),sales_logs!$I:$I,TRUE)&gt;0,"중복확인",IF(COUNTIFS(sales_logs!$B:$B,$A8,sales_logs!$C:$C,DATE($C$1,$E$1,L$3),sales_logs!$D:$D,"휴무",sales_logs!$I:$I,FALSE)&gt;0,"휴무",IF(COUNTIFS(sales_logs!$B:$B,$A8,sales_logs!$C:$C,DATE($C$1,$E$1,L$3),sales_logs!$I:$I,FALSE)=0,"미입력",SUMIFS(sales_logs!$E:$E,sales_logs!$B:$B,$A8,sales_logs!$C:$C,DATE($C$1,$E$1,L$3),sales_logs!$D:$D,"영업",sales_logs!$I:$I,FALSE)))))))</f>
        <v/>
      </c>
      <c r="M8">
        <f>IF($A8="","",IF(MONTH(DATE($C$1,$E$1,M$3))&lt;&gt;$E$1,"---",IF(DATE($C$1,$E$1,M$3)&gt;TODAY(),"",IF(COUNTIFS(sales_logs!$B:$B,$A8,sales_logs!$C:$C,DATE($C$1,$E$1,M$3),sales_logs!$I:$I,TRUE)&gt;0,"중복확인",IF(COUNTIFS(sales_logs!$B:$B,$A8,sales_logs!$C:$C,DATE($C$1,$E$1,M$3),sales_logs!$D:$D,"휴무",sales_logs!$I:$I,FALSE)&gt;0,"휴무",IF(COUNTIFS(sales_logs!$B:$B,$A8,sales_logs!$C:$C,DATE($C$1,$E$1,M$3),sales_logs!$I:$I,FALSE)=0,"미입력",SUMIFS(sales_logs!$E:$E,sales_logs!$B:$B,$A8,sales_logs!$C:$C,DATE($C$1,$E$1,M$3),sales_logs!$D:$D,"영업",sales_logs!$I:$I,FALSE)))))))</f>
        <v/>
      </c>
      <c r="N8">
        <f>IF($A8="","",IF(MONTH(DATE($C$1,$E$1,N$3))&lt;&gt;$E$1,"---",IF(DATE($C$1,$E$1,N$3)&gt;TODAY(),"",IF(COUNTIFS(sales_logs!$B:$B,$A8,sales_logs!$C:$C,DATE($C$1,$E$1,N$3),sales_logs!$I:$I,TRUE)&gt;0,"중복확인",IF(COUNTIFS(sales_logs!$B:$B,$A8,sales_logs!$C:$C,DATE($C$1,$E$1,N$3),sales_logs!$D:$D,"휴무",sales_logs!$I:$I,FALSE)&gt;0,"휴무",IF(COUNTIFS(sales_logs!$B:$B,$A8,sales_logs!$C:$C,DATE($C$1,$E$1,N$3),sales_logs!$I:$I,FALSE)=0,"미입력",SUMIFS(sales_logs!$E:$E,sales_logs!$B:$B,$A8,sales_logs!$C:$C,DATE($C$1,$E$1,N$3),sales_logs!$D:$D,"영업",sales_logs!$I:$I,FALSE)))))))</f>
        <v/>
      </c>
      <c r="O8">
        <f>IF($A8="","",IF(MONTH(DATE($C$1,$E$1,O$3))&lt;&gt;$E$1,"---",IF(DATE($C$1,$E$1,O$3)&gt;TODAY(),"",IF(COUNTIFS(sales_logs!$B:$B,$A8,sales_logs!$C:$C,DATE($C$1,$E$1,O$3),sales_logs!$I:$I,TRUE)&gt;0,"중복확인",IF(COUNTIFS(sales_logs!$B:$B,$A8,sales_logs!$C:$C,DATE($C$1,$E$1,O$3),sales_logs!$D:$D,"휴무",sales_logs!$I:$I,FALSE)&gt;0,"휴무",IF(COUNTIFS(sales_logs!$B:$B,$A8,sales_logs!$C:$C,DATE($C$1,$E$1,O$3),sales_logs!$I:$I,FALSE)=0,"미입력",SUMIFS(sales_logs!$E:$E,sales_logs!$B:$B,$A8,sales_logs!$C:$C,DATE($C$1,$E$1,O$3),sales_logs!$D:$D,"영업",sales_logs!$I:$I,FALSE)))))))</f>
        <v/>
      </c>
      <c r="P8">
        <f>IF($A8="","",IF(MONTH(DATE($C$1,$E$1,P$3))&lt;&gt;$E$1,"---",IF(DATE($C$1,$E$1,P$3)&gt;TODAY(),"",IF(COUNTIFS(sales_logs!$B:$B,$A8,sales_logs!$C:$C,DATE($C$1,$E$1,P$3),sales_logs!$I:$I,TRUE)&gt;0,"중복확인",IF(COUNTIFS(sales_logs!$B:$B,$A8,sales_logs!$C:$C,DATE($C$1,$E$1,P$3),sales_logs!$D:$D,"휴무",sales_logs!$I:$I,FALSE)&gt;0,"휴무",IF(COUNTIFS(sales_logs!$B:$B,$A8,sales_logs!$C:$C,DATE($C$1,$E$1,P$3),sales_logs!$I:$I,FALSE)=0,"미입력",SUMIFS(sales_logs!$E:$E,sales_logs!$B:$B,$A8,sales_logs!$C:$C,DATE($C$1,$E$1,P$3),sales_logs!$D:$D,"영업",sales_logs!$I:$I,FALSE)))))))</f>
        <v/>
      </c>
      <c r="Q8">
        <f>IF($A8="","",IF(MONTH(DATE($C$1,$E$1,Q$3))&lt;&gt;$E$1,"---",IF(DATE($C$1,$E$1,Q$3)&gt;TODAY(),"",IF(COUNTIFS(sales_logs!$B:$B,$A8,sales_logs!$C:$C,DATE($C$1,$E$1,Q$3),sales_logs!$I:$I,TRUE)&gt;0,"중복확인",IF(COUNTIFS(sales_logs!$B:$B,$A8,sales_logs!$C:$C,DATE($C$1,$E$1,Q$3),sales_logs!$D:$D,"휴무",sales_logs!$I:$I,FALSE)&gt;0,"휴무",IF(COUNTIFS(sales_logs!$B:$B,$A8,sales_logs!$C:$C,DATE($C$1,$E$1,Q$3),sales_logs!$I:$I,FALSE)=0,"미입력",SUMIFS(sales_logs!$E:$E,sales_logs!$B:$B,$A8,sales_logs!$C:$C,DATE($C$1,$E$1,Q$3),sales_logs!$D:$D,"영업",sales_logs!$I:$I,FALSE)))))))</f>
        <v/>
      </c>
      <c r="R8">
        <f>IF($A8="","",IF(MONTH(DATE($C$1,$E$1,R$3))&lt;&gt;$E$1,"---",IF(DATE($C$1,$E$1,R$3)&gt;TODAY(),"",IF(COUNTIFS(sales_logs!$B:$B,$A8,sales_logs!$C:$C,DATE($C$1,$E$1,R$3),sales_logs!$I:$I,TRUE)&gt;0,"중복확인",IF(COUNTIFS(sales_logs!$B:$B,$A8,sales_logs!$C:$C,DATE($C$1,$E$1,R$3),sales_logs!$D:$D,"휴무",sales_logs!$I:$I,FALSE)&gt;0,"휴무",IF(COUNTIFS(sales_logs!$B:$B,$A8,sales_logs!$C:$C,DATE($C$1,$E$1,R$3),sales_logs!$I:$I,FALSE)=0,"미입력",SUMIFS(sales_logs!$E:$E,sales_logs!$B:$B,$A8,sales_logs!$C:$C,DATE($C$1,$E$1,R$3),sales_logs!$D:$D,"영업",sales_logs!$I:$I,FALSE)))))))</f>
        <v/>
      </c>
      <c r="S8">
        <f>IF($A8="","",IF(MONTH(DATE($C$1,$E$1,S$3))&lt;&gt;$E$1,"---",IF(DATE($C$1,$E$1,S$3)&gt;TODAY(),"",IF(COUNTIFS(sales_logs!$B:$B,$A8,sales_logs!$C:$C,DATE($C$1,$E$1,S$3),sales_logs!$I:$I,TRUE)&gt;0,"중복확인",IF(COUNTIFS(sales_logs!$B:$B,$A8,sales_logs!$C:$C,DATE($C$1,$E$1,S$3),sales_logs!$D:$D,"휴무",sales_logs!$I:$I,FALSE)&gt;0,"휴무",IF(COUNTIFS(sales_logs!$B:$B,$A8,sales_logs!$C:$C,DATE($C$1,$E$1,S$3),sales_logs!$I:$I,FALSE)=0,"미입력",SUMIFS(sales_logs!$E:$E,sales_logs!$B:$B,$A8,sales_logs!$C:$C,DATE($C$1,$E$1,S$3),sales_logs!$D:$D,"영업",sales_logs!$I:$I,FALSE)))))))</f>
        <v/>
      </c>
      <c r="T8">
        <f>IF($A8="","",IF(MONTH(DATE($C$1,$E$1,T$3))&lt;&gt;$E$1,"---",IF(DATE($C$1,$E$1,T$3)&gt;TODAY(),"",IF(COUNTIFS(sales_logs!$B:$B,$A8,sales_logs!$C:$C,DATE($C$1,$E$1,T$3),sales_logs!$I:$I,TRUE)&gt;0,"중복확인",IF(COUNTIFS(sales_logs!$B:$B,$A8,sales_logs!$C:$C,DATE($C$1,$E$1,T$3),sales_logs!$D:$D,"휴무",sales_logs!$I:$I,FALSE)&gt;0,"휴무",IF(COUNTIFS(sales_logs!$B:$B,$A8,sales_logs!$C:$C,DATE($C$1,$E$1,T$3),sales_logs!$I:$I,FALSE)=0,"미입력",SUMIFS(sales_logs!$E:$E,sales_logs!$B:$B,$A8,sales_logs!$C:$C,DATE($C$1,$E$1,T$3),sales_logs!$D:$D,"영업",sales_logs!$I:$I,FALSE)))))))</f>
        <v/>
      </c>
      <c r="U8">
        <f>IF($A8="","",IF(MONTH(DATE($C$1,$E$1,U$3))&lt;&gt;$E$1,"---",IF(DATE($C$1,$E$1,U$3)&gt;TODAY(),"",IF(COUNTIFS(sales_logs!$B:$B,$A8,sales_logs!$C:$C,DATE($C$1,$E$1,U$3),sales_logs!$I:$I,TRUE)&gt;0,"중복확인",IF(COUNTIFS(sales_logs!$B:$B,$A8,sales_logs!$C:$C,DATE($C$1,$E$1,U$3),sales_logs!$D:$D,"휴무",sales_logs!$I:$I,FALSE)&gt;0,"휴무",IF(COUNTIFS(sales_logs!$B:$B,$A8,sales_logs!$C:$C,DATE($C$1,$E$1,U$3),sales_logs!$I:$I,FALSE)=0,"미입력",SUMIFS(sales_logs!$E:$E,sales_logs!$B:$B,$A8,sales_logs!$C:$C,DATE($C$1,$E$1,U$3),sales_logs!$D:$D,"영업",sales_logs!$I:$I,FALSE)))))))</f>
        <v/>
      </c>
      <c r="V8">
        <f>IF($A8="","",IF(MONTH(DATE($C$1,$E$1,V$3))&lt;&gt;$E$1,"---",IF(DATE($C$1,$E$1,V$3)&gt;TODAY(),"",IF(COUNTIFS(sales_logs!$B:$B,$A8,sales_logs!$C:$C,DATE($C$1,$E$1,V$3),sales_logs!$I:$I,TRUE)&gt;0,"중복확인",IF(COUNTIFS(sales_logs!$B:$B,$A8,sales_logs!$C:$C,DATE($C$1,$E$1,V$3),sales_logs!$D:$D,"휴무",sales_logs!$I:$I,FALSE)&gt;0,"휴무",IF(COUNTIFS(sales_logs!$B:$B,$A8,sales_logs!$C:$C,DATE($C$1,$E$1,V$3),sales_logs!$I:$I,FALSE)=0,"미입력",SUMIFS(sales_logs!$E:$E,sales_logs!$B:$B,$A8,sales_logs!$C:$C,DATE($C$1,$E$1,V$3),sales_logs!$D:$D,"영업",sales_logs!$I:$I,FALSE)))))))</f>
        <v/>
      </c>
      <c r="W8">
        <f>IF($A8="","",IF(MONTH(DATE($C$1,$E$1,W$3))&lt;&gt;$E$1,"---",IF(DATE($C$1,$E$1,W$3)&gt;TODAY(),"",IF(COUNTIFS(sales_logs!$B:$B,$A8,sales_logs!$C:$C,DATE($C$1,$E$1,W$3),sales_logs!$I:$I,TRUE)&gt;0,"중복확인",IF(COUNTIFS(sales_logs!$B:$B,$A8,sales_logs!$C:$C,DATE($C$1,$E$1,W$3),sales_logs!$D:$D,"휴무",sales_logs!$I:$I,FALSE)&gt;0,"휴무",IF(COUNTIFS(sales_logs!$B:$B,$A8,sales_logs!$C:$C,DATE($C$1,$E$1,W$3),sales_logs!$I:$I,FALSE)=0,"미입력",SUMIFS(sales_logs!$E:$E,sales_logs!$B:$B,$A8,sales_logs!$C:$C,DATE($C$1,$E$1,W$3),sales_logs!$D:$D,"영업",sales_logs!$I:$I,FALSE)))))))</f>
        <v/>
      </c>
      <c r="X8">
        <f>IF($A8="","",IF(MONTH(DATE($C$1,$E$1,X$3))&lt;&gt;$E$1,"---",IF(DATE($C$1,$E$1,X$3)&gt;TODAY(),"",IF(COUNTIFS(sales_logs!$B:$B,$A8,sales_logs!$C:$C,DATE($C$1,$E$1,X$3),sales_logs!$I:$I,TRUE)&gt;0,"중복확인",IF(COUNTIFS(sales_logs!$B:$B,$A8,sales_logs!$C:$C,DATE($C$1,$E$1,X$3),sales_logs!$D:$D,"휴무",sales_logs!$I:$I,FALSE)&gt;0,"휴무",IF(COUNTIFS(sales_logs!$B:$B,$A8,sales_logs!$C:$C,DATE($C$1,$E$1,X$3),sales_logs!$I:$I,FALSE)=0,"미입력",SUMIFS(sales_logs!$E:$E,sales_logs!$B:$B,$A8,sales_logs!$C:$C,DATE($C$1,$E$1,X$3),sales_logs!$D:$D,"영업",sales_logs!$I:$I,FALSE)))))))</f>
        <v/>
      </c>
      <c r="Y8">
        <f>IF($A8="","",IF(MONTH(DATE($C$1,$E$1,Y$3))&lt;&gt;$E$1,"---",IF(DATE($C$1,$E$1,Y$3)&gt;TODAY(),"",IF(COUNTIFS(sales_logs!$B:$B,$A8,sales_logs!$C:$C,DATE($C$1,$E$1,Y$3),sales_logs!$I:$I,TRUE)&gt;0,"중복확인",IF(COUNTIFS(sales_logs!$B:$B,$A8,sales_logs!$C:$C,DATE($C$1,$E$1,Y$3),sales_logs!$D:$D,"휴무",sales_logs!$I:$I,FALSE)&gt;0,"휴무",IF(COUNTIFS(sales_logs!$B:$B,$A8,sales_logs!$C:$C,DATE($C$1,$E$1,Y$3),sales_logs!$I:$I,FALSE)=0,"미입력",SUMIFS(sales_logs!$E:$E,sales_logs!$B:$B,$A8,sales_logs!$C:$C,DATE($C$1,$E$1,Y$3),sales_logs!$D:$D,"영업",sales_logs!$I:$I,FALSE)))))))</f>
        <v/>
      </c>
      <c r="Z8">
        <f>IF($A8="","",IF(MONTH(DATE($C$1,$E$1,Z$3))&lt;&gt;$E$1,"---",IF(DATE($C$1,$E$1,Z$3)&gt;TODAY(),"",IF(COUNTIFS(sales_logs!$B:$B,$A8,sales_logs!$C:$C,DATE($C$1,$E$1,Z$3),sales_logs!$I:$I,TRUE)&gt;0,"중복확인",IF(COUNTIFS(sales_logs!$B:$B,$A8,sales_logs!$C:$C,DATE($C$1,$E$1,Z$3),sales_logs!$D:$D,"휴무",sales_logs!$I:$I,FALSE)&gt;0,"휴무",IF(COUNTIFS(sales_logs!$B:$B,$A8,sales_logs!$C:$C,DATE($C$1,$E$1,Z$3),sales_logs!$I:$I,FALSE)=0,"미입력",SUMIFS(sales_logs!$E:$E,sales_logs!$B:$B,$A8,sales_logs!$C:$C,DATE($C$1,$E$1,Z$3),sales_logs!$D:$D,"영업",sales_logs!$I:$I,FALSE)))))))</f>
        <v/>
      </c>
      <c r="AA8">
        <f>IF($A8="","",IF(MONTH(DATE($C$1,$E$1,AA$3))&lt;&gt;$E$1,"---",IF(DATE($C$1,$E$1,AA$3)&gt;TODAY(),"",IF(COUNTIFS(sales_logs!$B:$B,$A8,sales_logs!$C:$C,DATE($C$1,$E$1,AA$3),sales_logs!$I:$I,TRUE)&gt;0,"중복확인",IF(COUNTIFS(sales_logs!$B:$B,$A8,sales_logs!$C:$C,DATE($C$1,$E$1,AA$3),sales_logs!$D:$D,"휴무",sales_logs!$I:$I,FALSE)&gt;0,"휴무",IF(COUNTIFS(sales_logs!$B:$B,$A8,sales_logs!$C:$C,DATE($C$1,$E$1,AA$3),sales_logs!$I:$I,FALSE)=0,"미입력",SUMIFS(sales_logs!$E:$E,sales_logs!$B:$B,$A8,sales_logs!$C:$C,DATE($C$1,$E$1,AA$3),sales_logs!$D:$D,"영업",sales_logs!$I:$I,FALSE)))))))</f>
        <v/>
      </c>
      <c r="AB8">
        <f>IF($A8="","",IF(MONTH(DATE($C$1,$E$1,AB$3))&lt;&gt;$E$1,"---",IF(DATE($C$1,$E$1,AB$3)&gt;TODAY(),"",IF(COUNTIFS(sales_logs!$B:$B,$A8,sales_logs!$C:$C,DATE($C$1,$E$1,AB$3),sales_logs!$I:$I,TRUE)&gt;0,"중복확인",IF(COUNTIFS(sales_logs!$B:$B,$A8,sales_logs!$C:$C,DATE($C$1,$E$1,AB$3),sales_logs!$D:$D,"휴무",sales_logs!$I:$I,FALSE)&gt;0,"휴무",IF(COUNTIFS(sales_logs!$B:$B,$A8,sales_logs!$C:$C,DATE($C$1,$E$1,AB$3),sales_logs!$I:$I,FALSE)=0,"미입력",SUMIFS(sales_logs!$E:$E,sales_logs!$B:$B,$A8,sales_logs!$C:$C,DATE($C$1,$E$1,AB$3),sales_logs!$D:$D,"영업",sales_logs!$I:$I,FALSE)))))))</f>
        <v/>
      </c>
      <c r="AC8">
        <f>IF($A8="","",IF(MONTH(DATE($C$1,$E$1,AC$3))&lt;&gt;$E$1,"---",IF(DATE($C$1,$E$1,AC$3)&gt;TODAY(),"",IF(COUNTIFS(sales_logs!$B:$B,$A8,sales_logs!$C:$C,DATE($C$1,$E$1,AC$3),sales_logs!$I:$I,TRUE)&gt;0,"중복확인",IF(COUNTIFS(sales_logs!$B:$B,$A8,sales_logs!$C:$C,DATE($C$1,$E$1,AC$3),sales_logs!$D:$D,"휴무",sales_logs!$I:$I,FALSE)&gt;0,"휴무",IF(COUNTIFS(sales_logs!$B:$B,$A8,sales_logs!$C:$C,DATE($C$1,$E$1,AC$3),sales_logs!$I:$I,FALSE)=0,"미입력",SUMIFS(sales_logs!$E:$E,sales_logs!$B:$B,$A8,sales_logs!$C:$C,DATE($C$1,$E$1,AC$3),sales_logs!$D:$D,"영업",sales_logs!$I:$I,FALSE)))))))</f>
        <v/>
      </c>
      <c r="AD8">
        <f>IF($A8="","",IF(MONTH(DATE($C$1,$E$1,AD$3))&lt;&gt;$E$1,"---",IF(DATE($C$1,$E$1,AD$3)&gt;TODAY(),"",IF(COUNTIFS(sales_logs!$B:$B,$A8,sales_logs!$C:$C,DATE($C$1,$E$1,AD$3),sales_logs!$I:$I,TRUE)&gt;0,"중복확인",IF(COUNTIFS(sales_logs!$B:$B,$A8,sales_logs!$C:$C,DATE($C$1,$E$1,AD$3),sales_logs!$D:$D,"휴무",sales_logs!$I:$I,FALSE)&gt;0,"휴무",IF(COUNTIFS(sales_logs!$B:$B,$A8,sales_logs!$C:$C,DATE($C$1,$E$1,AD$3),sales_logs!$I:$I,FALSE)=0,"미입력",SUMIFS(sales_logs!$E:$E,sales_logs!$B:$B,$A8,sales_logs!$C:$C,DATE($C$1,$E$1,AD$3),sales_logs!$D:$D,"영업",sales_logs!$I:$I,FALSE)))))))</f>
        <v/>
      </c>
      <c r="AE8">
        <f>IF($A8="","",IF(MONTH(DATE($C$1,$E$1,AE$3))&lt;&gt;$E$1,"---",IF(DATE($C$1,$E$1,AE$3)&gt;TODAY(),"",IF(COUNTIFS(sales_logs!$B:$B,$A8,sales_logs!$C:$C,DATE($C$1,$E$1,AE$3),sales_logs!$I:$I,TRUE)&gt;0,"중복확인",IF(COUNTIFS(sales_logs!$B:$B,$A8,sales_logs!$C:$C,DATE($C$1,$E$1,AE$3),sales_logs!$D:$D,"휴무",sales_logs!$I:$I,FALSE)&gt;0,"휴무",IF(COUNTIFS(sales_logs!$B:$B,$A8,sales_logs!$C:$C,DATE($C$1,$E$1,AE$3),sales_logs!$I:$I,FALSE)=0,"미입력",SUMIFS(sales_logs!$E:$E,sales_logs!$B:$B,$A8,sales_logs!$C:$C,DATE($C$1,$E$1,AE$3),sales_logs!$D:$D,"영업",sales_logs!$I:$I,FALSE)))))))</f>
        <v/>
      </c>
      <c r="AF8">
        <f>IF($A8="","",IF(MONTH(DATE($C$1,$E$1,AF$3))&lt;&gt;$E$1,"---",IF(DATE($C$1,$E$1,AF$3)&gt;TODAY(),"",IF(COUNTIFS(sales_logs!$B:$B,$A8,sales_logs!$C:$C,DATE($C$1,$E$1,AF$3),sales_logs!$I:$I,TRUE)&gt;0,"중복확인",IF(COUNTIFS(sales_logs!$B:$B,$A8,sales_logs!$C:$C,DATE($C$1,$E$1,AF$3),sales_logs!$D:$D,"휴무",sales_logs!$I:$I,FALSE)&gt;0,"휴무",IF(COUNTIFS(sales_logs!$B:$B,$A8,sales_logs!$C:$C,DATE($C$1,$E$1,AF$3),sales_logs!$I:$I,FALSE)=0,"미입력",SUMIFS(sales_logs!$E:$E,sales_logs!$B:$B,$A8,sales_logs!$C:$C,DATE($C$1,$E$1,AF$3),sales_logs!$D:$D,"영업",sales_logs!$I:$I,FALSE)))))))</f>
        <v/>
      </c>
      <c r="AG8">
        <f>IF($A8="","",IF(MONTH(DATE($C$1,$E$1,AG$3))&lt;&gt;$E$1,"---",IF(DATE($C$1,$E$1,AG$3)&gt;TODAY(),"",IF(COUNTIFS(sales_logs!$B:$B,$A8,sales_logs!$C:$C,DATE($C$1,$E$1,AG$3),sales_logs!$I:$I,TRUE)&gt;0,"중복확인",IF(COUNTIFS(sales_logs!$B:$B,$A8,sales_logs!$C:$C,DATE($C$1,$E$1,AG$3),sales_logs!$D:$D,"휴무",sales_logs!$I:$I,FALSE)&gt;0,"휴무",IF(COUNTIFS(sales_logs!$B:$B,$A8,sales_logs!$C:$C,DATE($C$1,$E$1,AG$3),sales_logs!$I:$I,FALSE)=0,"미입력",SUMIFS(sales_logs!$E:$E,sales_logs!$B:$B,$A8,sales_logs!$C:$C,DATE($C$1,$E$1,AG$3),sales_logs!$D:$D,"영업",sales_logs!$I:$I,FALSE)))))))</f>
        <v/>
      </c>
      <c r="AH8">
        <f>IF($A8="","",IF(MONTH(DATE($C$1,$E$1,AH$3))&lt;&gt;$E$1,"---",IF(DATE($C$1,$E$1,AH$3)&gt;TODAY(),"",IF(COUNTIFS(sales_logs!$B:$B,$A8,sales_logs!$C:$C,DATE($C$1,$E$1,AH$3),sales_logs!$I:$I,TRUE)&gt;0,"중복확인",IF(COUNTIFS(sales_logs!$B:$B,$A8,sales_logs!$C:$C,DATE($C$1,$E$1,AH$3),sales_logs!$D:$D,"휴무",sales_logs!$I:$I,FALSE)&gt;0,"휴무",IF(COUNTIFS(sales_logs!$B:$B,$A8,sales_logs!$C:$C,DATE($C$1,$E$1,AH$3),sales_logs!$I:$I,FALSE)=0,"미입력",SUMIFS(sales_logs!$E:$E,sales_logs!$B:$B,$A8,sales_logs!$C:$C,DATE($C$1,$E$1,AH$3),sales_logs!$D:$D,"영업",sales_logs!$I:$I,FALSE)))))))</f>
        <v/>
      </c>
      <c r="AI8">
        <f>IF($A8="","",IF(MONTH(DATE($C$1,$E$1,AI$3))&lt;&gt;$E$1,"---",IF(DATE($C$1,$E$1,AI$3)&gt;TODAY(),"",IF(COUNTIFS(sales_logs!$B:$B,$A8,sales_logs!$C:$C,DATE($C$1,$E$1,AI$3),sales_logs!$I:$I,TRUE)&gt;0,"중복확인",IF(COUNTIFS(sales_logs!$B:$B,$A8,sales_logs!$C:$C,DATE($C$1,$E$1,AI$3),sales_logs!$D:$D,"휴무",sales_logs!$I:$I,FALSE)&gt;0,"휴무",IF(COUNTIFS(sales_logs!$B:$B,$A8,sales_logs!$C:$C,DATE($C$1,$E$1,AI$3),sales_logs!$I:$I,FALSE)=0,"미입력",SUMIFS(sales_logs!$E:$E,sales_logs!$B:$B,$A8,sales_logs!$C:$C,DATE($C$1,$E$1,AI$3),sales_logs!$D:$D,"영업",sales_logs!$I:$I,FALSE)))))))</f>
        <v/>
      </c>
      <c r="AJ8">
        <f>IF($A8="","",IF(MONTH(DATE($C$1,$E$1,AJ$3))&lt;&gt;$E$1,"---",IF(DATE($C$1,$E$1,AJ$3)&gt;TODAY(),"",IF(COUNTIFS(sales_logs!$B:$B,$A8,sales_logs!$C:$C,DATE($C$1,$E$1,AJ$3),sales_logs!$I:$I,TRUE)&gt;0,"중복확인",IF(COUNTIFS(sales_logs!$B:$B,$A8,sales_logs!$C:$C,DATE($C$1,$E$1,AJ$3),sales_logs!$D:$D,"휴무",sales_logs!$I:$I,FALSE)&gt;0,"휴무",IF(COUNTIFS(sales_logs!$B:$B,$A8,sales_logs!$C:$C,DATE($C$1,$E$1,AJ$3),sales_logs!$I:$I,FALSE)=0,"미입력",SUMIFS(sales_logs!$E:$E,sales_logs!$B:$B,$A8,sales_logs!$C:$C,DATE($C$1,$E$1,AJ$3),sales_logs!$D:$D,"영업",sales_logs!$I:$I,FALSE)))))))</f>
        <v/>
      </c>
      <c r="AK8">
        <f>IF($A8="","",IF(MONTH(DATE($C$1,$E$1,AK$3))&lt;&gt;$E$1,"---",IF(DATE($C$1,$E$1,AK$3)&gt;TODAY(),"",IF(COUNTIFS(sales_logs!$B:$B,$A8,sales_logs!$C:$C,DATE($C$1,$E$1,AK$3),sales_logs!$I:$I,TRUE)&gt;0,"중복확인",IF(COUNTIFS(sales_logs!$B:$B,$A8,sales_logs!$C:$C,DATE($C$1,$E$1,AK$3),sales_logs!$D:$D,"휴무",sales_logs!$I:$I,FALSE)&gt;0,"휴무",IF(COUNTIFS(sales_logs!$B:$B,$A8,sales_logs!$C:$C,DATE($C$1,$E$1,AK$3),sales_logs!$I:$I,FALSE)=0,"미입력",SUMIFS(sales_logs!$E:$E,sales_logs!$B:$B,$A8,sales_logs!$C:$C,DATE($C$1,$E$1,AK$3),sales_logs!$D:$D,"영업",sales_logs!$I:$I,FALSE)))))))</f>
        <v/>
      </c>
      <c r="AL8">
        <f>IF($A8="","",IF(MONTH(DATE($C$1,$E$1,AL$3))&lt;&gt;$E$1,"---",IF(DATE($C$1,$E$1,AL$3)&gt;TODAY(),"",IF(COUNTIFS(sales_logs!$B:$B,$A8,sales_logs!$C:$C,DATE($C$1,$E$1,AL$3),sales_logs!$I:$I,TRUE)&gt;0,"중복확인",IF(COUNTIFS(sales_logs!$B:$B,$A8,sales_logs!$C:$C,DATE($C$1,$E$1,AL$3),sales_logs!$D:$D,"휴무",sales_logs!$I:$I,FALSE)&gt;0,"휴무",IF(COUNTIFS(sales_logs!$B:$B,$A8,sales_logs!$C:$C,DATE($C$1,$E$1,AL$3),sales_logs!$I:$I,FALSE)=0,"미입력",SUMIFS(sales_logs!$E:$E,sales_logs!$B:$B,$A8,sales_logs!$C:$C,DATE($C$1,$E$1,AL$3),sales_logs!$D:$D,"영업",sales_logs!$I:$I,FALSE)))))))</f>
        <v/>
      </c>
      <c r="AM8">
        <f>IF($A8="","",IF(MONTH(DATE($C$1,$E$1,AM$3))&lt;&gt;$E$1,"---",IF(DATE($C$1,$E$1,AM$3)&gt;TODAY(),"",IF(COUNTIFS(sales_logs!$B:$B,$A8,sales_logs!$C:$C,DATE($C$1,$E$1,AM$3),sales_logs!$I:$I,TRUE)&gt;0,"중복확인",IF(COUNTIFS(sales_logs!$B:$B,$A8,sales_logs!$C:$C,DATE($C$1,$E$1,AM$3),sales_logs!$D:$D,"휴무",sales_logs!$I:$I,FALSE)&gt;0,"휴무",IF(COUNTIFS(sales_logs!$B:$B,$A8,sales_logs!$C:$C,DATE($C$1,$E$1,AM$3),sales_logs!$I:$I,FALSE)=0,"미입력",SUMIFS(sales_logs!$E:$E,sales_logs!$B:$B,$A8,sales_logs!$C:$C,DATE($C$1,$E$1,AM$3),sales_logs!$D:$D,"영업",sales_logs!$I:$I,FALSE)))))))</f>
        <v/>
      </c>
      <c r="AN8">
        <f>IF($A8="","",IF(MONTH(DATE($C$1,$E$1,AN$3))&lt;&gt;$E$1,"---",IF(DATE($C$1,$E$1,AN$3)&gt;TODAY(),"",IF(COUNTIFS(sales_logs!$B:$B,$A8,sales_logs!$C:$C,DATE($C$1,$E$1,AN$3),sales_logs!$I:$I,TRUE)&gt;0,"중복확인",IF(COUNTIFS(sales_logs!$B:$B,$A8,sales_logs!$C:$C,DATE($C$1,$E$1,AN$3),sales_logs!$D:$D,"휴무",sales_logs!$I:$I,FALSE)&gt;0,"휴무",IF(COUNTIFS(sales_logs!$B:$B,$A8,sales_logs!$C:$C,DATE($C$1,$E$1,AN$3),sales_logs!$I:$I,FALSE)=0,"미입력",SUMIFS(sales_logs!$E:$E,sales_logs!$B:$B,$A8,sales_logs!$C:$C,DATE($C$1,$E$1,AN$3),sales_logs!$D:$D,"영업",sales_logs!$I:$I,FALSE)))))))</f>
        <v/>
      </c>
      <c r="AO8">
        <f>IF($A8="","",IF(MONTH(DATE($C$1,$E$1,AO$3))&lt;&gt;$E$1,"---",IF(DATE($C$1,$E$1,AO$3)&gt;TODAY(),"",IF(COUNTIFS(sales_logs!$B:$B,$A8,sales_logs!$C:$C,DATE($C$1,$E$1,AO$3),sales_logs!$I:$I,TRUE)&gt;0,"중복확인",IF(COUNTIFS(sales_logs!$B:$B,$A8,sales_logs!$C:$C,DATE($C$1,$E$1,AO$3),sales_logs!$D:$D,"휴무",sales_logs!$I:$I,FALSE)&gt;0,"휴무",IF(COUNTIFS(sales_logs!$B:$B,$A8,sales_logs!$C:$C,DATE($C$1,$E$1,AO$3),sales_logs!$I:$I,FALSE)=0,"미입력",SUMIFS(sales_logs!$E:$E,sales_logs!$B:$B,$A8,sales_logs!$C:$C,DATE($C$1,$E$1,AO$3),sales_logs!$D:$D,"영업",sales_logs!$I:$I,FALSE)))))))</f>
        <v/>
      </c>
    </row>
    <row r="9">
      <c r="A9">
        <f>IFERROR(INDEX(FILTER(stores!$A$2:$A,stores!$G$2:$G="active"),ROW()-3),"")</f>
        <v/>
      </c>
      <c r="B9">
        <f>IF($A9="","",VLOOKUP($A9,stores!$A:$B,2,0))</f>
        <v/>
      </c>
      <c r="C9">
        <f>IF($A9="","",VLOOKUP($A9,stores!$A:$C,3,0))</f>
        <v/>
      </c>
      <c r="D9">
        <f>IF($A9="","",IF(DATE($C$1,$E$1,1)&gt;TODAY(),0,IFERROR(COUNTUNIQUE(FILTER(sales_logs!$C$2:$C$1000,sales_logs!$B$2:$B$1000=$A9,sales_logs!$C$2:$C$1000&gt;=DATE($C$1,$E$1,1),sales_logs!$C$2:$C$1000&lt;=MIN(TODAY(),EOMONTH(DATE($C$1,$E$1,1),0)),sales_logs!$I$2:$I$1000=FALSE))/DAY(MIN(TODAY(),EOMONTH(DATE($C$1,$E$1,1),0))),0)))</f>
        <v/>
      </c>
      <c r="E9">
        <f>IF($A9="","",IF(DATE($C$1,$E$1,1)&gt;TODAY(),0,DAY(MIN(TODAY(),EOMONTH(DATE($C$1,$E$1,1),0)))-IFERROR(COUNTUNIQUE(FILTER(sales_logs!$C$2:$C$1000,sales_logs!$B$2:$B$1000=$A9,sales_logs!$C$2:$C$1000&gt;=DATE($C$1,$E$1,1),sales_logs!$C$2:$C$1000&lt;=MIN(TODAY(),EOMONTH(DATE($C$1,$E$1,1),0)),sales_logs!$I$2:$I$1000=FALSE)),0)))</f>
        <v/>
      </c>
      <c r="F9">
        <f>IF($A9="","",COUNTIFS(sales_logs!$B:$B,$A9,sales_logs!$C:$C,"&gt;="&amp;DATE($C$1,$E$1,1),sales_logs!$C:$C,"&lt;="&amp;EOMONTH(DATE($C$1,$E$1,1),0),sales_logs!$D:$D,"휴무",sales_logs!$I:$I,FALSE))</f>
        <v/>
      </c>
      <c r="G9">
        <f>IF($A9="","",COUNTIFS(sales_logs!$B:$B,$A9,sales_logs!$C:$C,"&gt;="&amp;DATE($C$1,$E$1,1),sales_logs!$C:$C,"&lt;="&amp;EOMONTH(DATE($C$1,$E$1,1),0),sales_logs!$D:$D,"영업",sales_logs!$I:$I,FALSE))</f>
        <v/>
      </c>
      <c r="H9">
        <f>IF($A9="","",SUMIFS(sales_logs!$E:$E,sales_logs!$B:$B,$A9,sales_logs!$C:$C,"&gt;="&amp;DATE($C$1,$E$1,1),sales_logs!$C:$C,"&lt;="&amp;EOMONTH(DATE($C$1,$E$1,1),0),sales_logs!$D:$D,"영업",sales_logs!$I:$I,FALSE))</f>
        <v/>
      </c>
      <c r="I9">
        <f>IF(OR($A9="",G9=0),"",H9/G9)</f>
        <v/>
      </c>
      <c r="J9">
        <f>IF($A9="","",LET(cur_end, MIN(TODAY(),EOMONTH(DATE($C$1,$E$1,1),0)),cmp_day, DAY(cur_end),prev_start, DATE($C$1,$E$1-1,1),prev_end, MIN(DATE($C$1,$E$1-1,cmp_day),EOMONTH(DATE($C$1,$E$1-1,1),0)),cur_sales, SUMIFS(sales_logs!$E:$E,sales_logs!$B:$B,$A9,sales_logs!$C:$C,"&gt;="&amp;DATE($C$1,$E$1,1),sales_logs!$C:$C,"&lt;="&amp;cur_end,sales_logs!$D:$D,"영업",sales_logs!$I:$I,FALSE),prev_sales, SUMIFS(sales_logs!$E:$E,sales_logs!$B:$B,$A9,sales_logs!$C:$C,"&gt;="&amp;prev_start,sales_logs!$C:$C,"&lt;="&amp;prev_end,sales_logs!$D:$D,"영업",sales_logs!$I:$I,FALSE),IF(prev_sales=0,"데이터부족",(cur_sales-prev_sales)/prev_sales)))</f>
        <v/>
      </c>
      <c r="K9">
        <f>IF($A9="","",IF(MONTH(DATE($C$1,$E$1,K$3))&lt;&gt;$E$1,"---",IF(DATE($C$1,$E$1,K$3)&gt;TODAY(),"",IF(COUNTIFS(sales_logs!$B:$B,$A9,sales_logs!$C:$C,DATE($C$1,$E$1,K$3),sales_logs!$I:$I,TRUE)&gt;0,"중복확인",IF(COUNTIFS(sales_logs!$B:$B,$A9,sales_logs!$C:$C,DATE($C$1,$E$1,K$3),sales_logs!$D:$D,"휴무",sales_logs!$I:$I,FALSE)&gt;0,"휴무",IF(COUNTIFS(sales_logs!$B:$B,$A9,sales_logs!$C:$C,DATE($C$1,$E$1,K$3),sales_logs!$I:$I,FALSE)=0,"미입력",SUMIFS(sales_logs!$E:$E,sales_logs!$B:$B,$A9,sales_logs!$C:$C,DATE($C$1,$E$1,K$3),sales_logs!$D:$D,"영업",sales_logs!$I:$I,FALSE)))))))</f>
        <v/>
      </c>
      <c r="L9">
        <f>IF($A9="","",IF(MONTH(DATE($C$1,$E$1,L$3))&lt;&gt;$E$1,"---",IF(DATE($C$1,$E$1,L$3)&gt;TODAY(),"",IF(COUNTIFS(sales_logs!$B:$B,$A9,sales_logs!$C:$C,DATE($C$1,$E$1,L$3),sales_logs!$I:$I,TRUE)&gt;0,"중복확인",IF(COUNTIFS(sales_logs!$B:$B,$A9,sales_logs!$C:$C,DATE($C$1,$E$1,L$3),sales_logs!$D:$D,"휴무",sales_logs!$I:$I,FALSE)&gt;0,"휴무",IF(COUNTIFS(sales_logs!$B:$B,$A9,sales_logs!$C:$C,DATE($C$1,$E$1,L$3),sales_logs!$I:$I,FALSE)=0,"미입력",SUMIFS(sales_logs!$E:$E,sales_logs!$B:$B,$A9,sales_logs!$C:$C,DATE($C$1,$E$1,L$3),sales_logs!$D:$D,"영업",sales_logs!$I:$I,FALSE)))))))</f>
        <v/>
      </c>
      <c r="M9">
        <f>IF($A9="","",IF(MONTH(DATE($C$1,$E$1,M$3))&lt;&gt;$E$1,"---",IF(DATE($C$1,$E$1,M$3)&gt;TODAY(),"",IF(COUNTIFS(sales_logs!$B:$B,$A9,sales_logs!$C:$C,DATE($C$1,$E$1,M$3),sales_logs!$I:$I,TRUE)&gt;0,"중복확인",IF(COUNTIFS(sales_logs!$B:$B,$A9,sales_logs!$C:$C,DATE($C$1,$E$1,M$3),sales_logs!$D:$D,"휴무",sales_logs!$I:$I,FALSE)&gt;0,"휴무",IF(COUNTIFS(sales_logs!$B:$B,$A9,sales_logs!$C:$C,DATE($C$1,$E$1,M$3),sales_logs!$I:$I,FALSE)=0,"미입력",SUMIFS(sales_logs!$E:$E,sales_logs!$B:$B,$A9,sales_logs!$C:$C,DATE($C$1,$E$1,M$3),sales_logs!$D:$D,"영업",sales_logs!$I:$I,FALSE)))))))</f>
        <v/>
      </c>
      <c r="N9">
        <f>IF($A9="","",IF(MONTH(DATE($C$1,$E$1,N$3))&lt;&gt;$E$1,"---",IF(DATE($C$1,$E$1,N$3)&gt;TODAY(),"",IF(COUNTIFS(sales_logs!$B:$B,$A9,sales_logs!$C:$C,DATE($C$1,$E$1,N$3),sales_logs!$I:$I,TRUE)&gt;0,"중복확인",IF(COUNTIFS(sales_logs!$B:$B,$A9,sales_logs!$C:$C,DATE($C$1,$E$1,N$3),sales_logs!$D:$D,"휴무",sales_logs!$I:$I,FALSE)&gt;0,"휴무",IF(COUNTIFS(sales_logs!$B:$B,$A9,sales_logs!$C:$C,DATE($C$1,$E$1,N$3),sales_logs!$I:$I,FALSE)=0,"미입력",SUMIFS(sales_logs!$E:$E,sales_logs!$B:$B,$A9,sales_logs!$C:$C,DATE($C$1,$E$1,N$3),sales_logs!$D:$D,"영업",sales_logs!$I:$I,FALSE)))))))</f>
        <v/>
      </c>
      <c r="O9">
        <f>IF($A9="","",IF(MONTH(DATE($C$1,$E$1,O$3))&lt;&gt;$E$1,"---",IF(DATE($C$1,$E$1,O$3)&gt;TODAY(),"",IF(COUNTIFS(sales_logs!$B:$B,$A9,sales_logs!$C:$C,DATE($C$1,$E$1,O$3),sales_logs!$I:$I,TRUE)&gt;0,"중복확인",IF(COUNTIFS(sales_logs!$B:$B,$A9,sales_logs!$C:$C,DATE($C$1,$E$1,O$3),sales_logs!$D:$D,"휴무",sales_logs!$I:$I,FALSE)&gt;0,"휴무",IF(COUNTIFS(sales_logs!$B:$B,$A9,sales_logs!$C:$C,DATE($C$1,$E$1,O$3),sales_logs!$I:$I,FALSE)=0,"미입력",SUMIFS(sales_logs!$E:$E,sales_logs!$B:$B,$A9,sales_logs!$C:$C,DATE($C$1,$E$1,O$3),sales_logs!$D:$D,"영업",sales_logs!$I:$I,FALSE)))))))</f>
        <v/>
      </c>
      <c r="P9">
        <f>IF($A9="","",IF(MONTH(DATE($C$1,$E$1,P$3))&lt;&gt;$E$1,"---",IF(DATE($C$1,$E$1,P$3)&gt;TODAY(),"",IF(COUNTIFS(sales_logs!$B:$B,$A9,sales_logs!$C:$C,DATE($C$1,$E$1,P$3),sales_logs!$I:$I,TRUE)&gt;0,"중복확인",IF(COUNTIFS(sales_logs!$B:$B,$A9,sales_logs!$C:$C,DATE($C$1,$E$1,P$3),sales_logs!$D:$D,"휴무",sales_logs!$I:$I,FALSE)&gt;0,"휴무",IF(COUNTIFS(sales_logs!$B:$B,$A9,sales_logs!$C:$C,DATE($C$1,$E$1,P$3),sales_logs!$I:$I,FALSE)=0,"미입력",SUMIFS(sales_logs!$E:$E,sales_logs!$B:$B,$A9,sales_logs!$C:$C,DATE($C$1,$E$1,P$3),sales_logs!$D:$D,"영업",sales_logs!$I:$I,FALSE)))))))</f>
        <v/>
      </c>
      <c r="Q9">
        <f>IF($A9="","",IF(MONTH(DATE($C$1,$E$1,Q$3))&lt;&gt;$E$1,"---",IF(DATE($C$1,$E$1,Q$3)&gt;TODAY(),"",IF(COUNTIFS(sales_logs!$B:$B,$A9,sales_logs!$C:$C,DATE($C$1,$E$1,Q$3),sales_logs!$I:$I,TRUE)&gt;0,"중복확인",IF(COUNTIFS(sales_logs!$B:$B,$A9,sales_logs!$C:$C,DATE($C$1,$E$1,Q$3),sales_logs!$D:$D,"휴무",sales_logs!$I:$I,FALSE)&gt;0,"휴무",IF(COUNTIFS(sales_logs!$B:$B,$A9,sales_logs!$C:$C,DATE($C$1,$E$1,Q$3),sales_logs!$I:$I,FALSE)=0,"미입력",SUMIFS(sales_logs!$E:$E,sales_logs!$B:$B,$A9,sales_logs!$C:$C,DATE($C$1,$E$1,Q$3),sales_logs!$D:$D,"영업",sales_logs!$I:$I,FALSE)))))))</f>
        <v/>
      </c>
      <c r="R9">
        <f>IF($A9="","",IF(MONTH(DATE($C$1,$E$1,R$3))&lt;&gt;$E$1,"---",IF(DATE($C$1,$E$1,R$3)&gt;TODAY(),"",IF(COUNTIFS(sales_logs!$B:$B,$A9,sales_logs!$C:$C,DATE($C$1,$E$1,R$3),sales_logs!$I:$I,TRUE)&gt;0,"중복확인",IF(COUNTIFS(sales_logs!$B:$B,$A9,sales_logs!$C:$C,DATE($C$1,$E$1,R$3),sales_logs!$D:$D,"휴무",sales_logs!$I:$I,FALSE)&gt;0,"휴무",IF(COUNTIFS(sales_logs!$B:$B,$A9,sales_logs!$C:$C,DATE($C$1,$E$1,R$3),sales_logs!$I:$I,FALSE)=0,"미입력",SUMIFS(sales_logs!$E:$E,sales_logs!$B:$B,$A9,sales_logs!$C:$C,DATE($C$1,$E$1,R$3),sales_logs!$D:$D,"영업",sales_logs!$I:$I,FALSE)))))))</f>
        <v/>
      </c>
      <c r="S9">
        <f>IF($A9="","",IF(MONTH(DATE($C$1,$E$1,S$3))&lt;&gt;$E$1,"---",IF(DATE($C$1,$E$1,S$3)&gt;TODAY(),"",IF(COUNTIFS(sales_logs!$B:$B,$A9,sales_logs!$C:$C,DATE($C$1,$E$1,S$3),sales_logs!$I:$I,TRUE)&gt;0,"중복확인",IF(COUNTIFS(sales_logs!$B:$B,$A9,sales_logs!$C:$C,DATE($C$1,$E$1,S$3),sales_logs!$D:$D,"휴무",sales_logs!$I:$I,FALSE)&gt;0,"휴무",IF(COUNTIFS(sales_logs!$B:$B,$A9,sales_logs!$C:$C,DATE($C$1,$E$1,S$3),sales_logs!$I:$I,FALSE)=0,"미입력",SUMIFS(sales_logs!$E:$E,sales_logs!$B:$B,$A9,sales_logs!$C:$C,DATE($C$1,$E$1,S$3),sales_logs!$D:$D,"영업",sales_logs!$I:$I,FALSE)))))))</f>
        <v/>
      </c>
      <c r="T9">
        <f>IF($A9="","",IF(MONTH(DATE($C$1,$E$1,T$3))&lt;&gt;$E$1,"---",IF(DATE($C$1,$E$1,T$3)&gt;TODAY(),"",IF(COUNTIFS(sales_logs!$B:$B,$A9,sales_logs!$C:$C,DATE($C$1,$E$1,T$3),sales_logs!$I:$I,TRUE)&gt;0,"중복확인",IF(COUNTIFS(sales_logs!$B:$B,$A9,sales_logs!$C:$C,DATE($C$1,$E$1,T$3),sales_logs!$D:$D,"휴무",sales_logs!$I:$I,FALSE)&gt;0,"휴무",IF(COUNTIFS(sales_logs!$B:$B,$A9,sales_logs!$C:$C,DATE($C$1,$E$1,T$3),sales_logs!$I:$I,FALSE)=0,"미입력",SUMIFS(sales_logs!$E:$E,sales_logs!$B:$B,$A9,sales_logs!$C:$C,DATE($C$1,$E$1,T$3),sales_logs!$D:$D,"영업",sales_logs!$I:$I,FALSE)))))))</f>
        <v/>
      </c>
      <c r="U9">
        <f>IF($A9="","",IF(MONTH(DATE($C$1,$E$1,U$3))&lt;&gt;$E$1,"---",IF(DATE($C$1,$E$1,U$3)&gt;TODAY(),"",IF(COUNTIFS(sales_logs!$B:$B,$A9,sales_logs!$C:$C,DATE($C$1,$E$1,U$3),sales_logs!$I:$I,TRUE)&gt;0,"중복확인",IF(COUNTIFS(sales_logs!$B:$B,$A9,sales_logs!$C:$C,DATE($C$1,$E$1,U$3),sales_logs!$D:$D,"휴무",sales_logs!$I:$I,FALSE)&gt;0,"휴무",IF(COUNTIFS(sales_logs!$B:$B,$A9,sales_logs!$C:$C,DATE($C$1,$E$1,U$3),sales_logs!$I:$I,FALSE)=0,"미입력",SUMIFS(sales_logs!$E:$E,sales_logs!$B:$B,$A9,sales_logs!$C:$C,DATE($C$1,$E$1,U$3),sales_logs!$D:$D,"영업",sales_logs!$I:$I,FALSE)))))))</f>
        <v/>
      </c>
      <c r="V9">
        <f>IF($A9="","",IF(MONTH(DATE($C$1,$E$1,V$3))&lt;&gt;$E$1,"---",IF(DATE($C$1,$E$1,V$3)&gt;TODAY(),"",IF(COUNTIFS(sales_logs!$B:$B,$A9,sales_logs!$C:$C,DATE($C$1,$E$1,V$3),sales_logs!$I:$I,TRUE)&gt;0,"중복확인",IF(COUNTIFS(sales_logs!$B:$B,$A9,sales_logs!$C:$C,DATE($C$1,$E$1,V$3),sales_logs!$D:$D,"휴무",sales_logs!$I:$I,FALSE)&gt;0,"휴무",IF(COUNTIFS(sales_logs!$B:$B,$A9,sales_logs!$C:$C,DATE($C$1,$E$1,V$3),sales_logs!$I:$I,FALSE)=0,"미입력",SUMIFS(sales_logs!$E:$E,sales_logs!$B:$B,$A9,sales_logs!$C:$C,DATE($C$1,$E$1,V$3),sales_logs!$D:$D,"영업",sales_logs!$I:$I,FALSE)))))))</f>
        <v/>
      </c>
      <c r="W9">
        <f>IF($A9="","",IF(MONTH(DATE($C$1,$E$1,W$3))&lt;&gt;$E$1,"---",IF(DATE($C$1,$E$1,W$3)&gt;TODAY(),"",IF(COUNTIFS(sales_logs!$B:$B,$A9,sales_logs!$C:$C,DATE($C$1,$E$1,W$3),sales_logs!$I:$I,TRUE)&gt;0,"중복확인",IF(COUNTIFS(sales_logs!$B:$B,$A9,sales_logs!$C:$C,DATE($C$1,$E$1,W$3),sales_logs!$D:$D,"휴무",sales_logs!$I:$I,FALSE)&gt;0,"휴무",IF(COUNTIFS(sales_logs!$B:$B,$A9,sales_logs!$C:$C,DATE($C$1,$E$1,W$3),sales_logs!$I:$I,FALSE)=0,"미입력",SUMIFS(sales_logs!$E:$E,sales_logs!$B:$B,$A9,sales_logs!$C:$C,DATE($C$1,$E$1,W$3),sales_logs!$D:$D,"영업",sales_logs!$I:$I,FALSE)))))))</f>
        <v/>
      </c>
      <c r="X9">
        <f>IF($A9="","",IF(MONTH(DATE($C$1,$E$1,X$3))&lt;&gt;$E$1,"---",IF(DATE($C$1,$E$1,X$3)&gt;TODAY(),"",IF(COUNTIFS(sales_logs!$B:$B,$A9,sales_logs!$C:$C,DATE($C$1,$E$1,X$3),sales_logs!$I:$I,TRUE)&gt;0,"중복확인",IF(COUNTIFS(sales_logs!$B:$B,$A9,sales_logs!$C:$C,DATE($C$1,$E$1,X$3),sales_logs!$D:$D,"휴무",sales_logs!$I:$I,FALSE)&gt;0,"휴무",IF(COUNTIFS(sales_logs!$B:$B,$A9,sales_logs!$C:$C,DATE($C$1,$E$1,X$3),sales_logs!$I:$I,FALSE)=0,"미입력",SUMIFS(sales_logs!$E:$E,sales_logs!$B:$B,$A9,sales_logs!$C:$C,DATE($C$1,$E$1,X$3),sales_logs!$D:$D,"영업",sales_logs!$I:$I,FALSE)))))))</f>
        <v/>
      </c>
      <c r="Y9">
        <f>IF($A9="","",IF(MONTH(DATE($C$1,$E$1,Y$3))&lt;&gt;$E$1,"---",IF(DATE($C$1,$E$1,Y$3)&gt;TODAY(),"",IF(COUNTIFS(sales_logs!$B:$B,$A9,sales_logs!$C:$C,DATE($C$1,$E$1,Y$3),sales_logs!$I:$I,TRUE)&gt;0,"중복확인",IF(COUNTIFS(sales_logs!$B:$B,$A9,sales_logs!$C:$C,DATE($C$1,$E$1,Y$3),sales_logs!$D:$D,"휴무",sales_logs!$I:$I,FALSE)&gt;0,"휴무",IF(COUNTIFS(sales_logs!$B:$B,$A9,sales_logs!$C:$C,DATE($C$1,$E$1,Y$3),sales_logs!$I:$I,FALSE)=0,"미입력",SUMIFS(sales_logs!$E:$E,sales_logs!$B:$B,$A9,sales_logs!$C:$C,DATE($C$1,$E$1,Y$3),sales_logs!$D:$D,"영업",sales_logs!$I:$I,FALSE)))))))</f>
        <v/>
      </c>
      <c r="Z9">
        <f>IF($A9="","",IF(MONTH(DATE($C$1,$E$1,Z$3))&lt;&gt;$E$1,"---",IF(DATE($C$1,$E$1,Z$3)&gt;TODAY(),"",IF(COUNTIFS(sales_logs!$B:$B,$A9,sales_logs!$C:$C,DATE($C$1,$E$1,Z$3),sales_logs!$I:$I,TRUE)&gt;0,"중복확인",IF(COUNTIFS(sales_logs!$B:$B,$A9,sales_logs!$C:$C,DATE($C$1,$E$1,Z$3),sales_logs!$D:$D,"휴무",sales_logs!$I:$I,FALSE)&gt;0,"휴무",IF(COUNTIFS(sales_logs!$B:$B,$A9,sales_logs!$C:$C,DATE($C$1,$E$1,Z$3),sales_logs!$I:$I,FALSE)=0,"미입력",SUMIFS(sales_logs!$E:$E,sales_logs!$B:$B,$A9,sales_logs!$C:$C,DATE($C$1,$E$1,Z$3),sales_logs!$D:$D,"영업",sales_logs!$I:$I,FALSE)))))))</f>
        <v/>
      </c>
      <c r="AA9">
        <f>IF($A9="","",IF(MONTH(DATE($C$1,$E$1,AA$3))&lt;&gt;$E$1,"---",IF(DATE($C$1,$E$1,AA$3)&gt;TODAY(),"",IF(COUNTIFS(sales_logs!$B:$B,$A9,sales_logs!$C:$C,DATE($C$1,$E$1,AA$3),sales_logs!$I:$I,TRUE)&gt;0,"중복확인",IF(COUNTIFS(sales_logs!$B:$B,$A9,sales_logs!$C:$C,DATE($C$1,$E$1,AA$3),sales_logs!$D:$D,"휴무",sales_logs!$I:$I,FALSE)&gt;0,"휴무",IF(COUNTIFS(sales_logs!$B:$B,$A9,sales_logs!$C:$C,DATE($C$1,$E$1,AA$3),sales_logs!$I:$I,FALSE)=0,"미입력",SUMIFS(sales_logs!$E:$E,sales_logs!$B:$B,$A9,sales_logs!$C:$C,DATE($C$1,$E$1,AA$3),sales_logs!$D:$D,"영업",sales_logs!$I:$I,FALSE)))))))</f>
        <v/>
      </c>
      <c r="AB9">
        <f>IF($A9="","",IF(MONTH(DATE($C$1,$E$1,AB$3))&lt;&gt;$E$1,"---",IF(DATE($C$1,$E$1,AB$3)&gt;TODAY(),"",IF(COUNTIFS(sales_logs!$B:$B,$A9,sales_logs!$C:$C,DATE($C$1,$E$1,AB$3),sales_logs!$I:$I,TRUE)&gt;0,"중복확인",IF(COUNTIFS(sales_logs!$B:$B,$A9,sales_logs!$C:$C,DATE($C$1,$E$1,AB$3),sales_logs!$D:$D,"휴무",sales_logs!$I:$I,FALSE)&gt;0,"휴무",IF(COUNTIFS(sales_logs!$B:$B,$A9,sales_logs!$C:$C,DATE($C$1,$E$1,AB$3),sales_logs!$I:$I,FALSE)=0,"미입력",SUMIFS(sales_logs!$E:$E,sales_logs!$B:$B,$A9,sales_logs!$C:$C,DATE($C$1,$E$1,AB$3),sales_logs!$D:$D,"영업",sales_logs!$I:$I,FALSE)))))))</f>
        <v/>
      </c>
      <c r="AC9">
        <f>IF($A9="","",IF(MONTH(DATE($C$1,$E$1,AC$3))&lt;&gt;$E$1,"---",IF(DATE($C$1,$E$1,AC$3)&gt;TODAY(),"",IF(COUNTIFS(sales_logs!$B:$B,$A9,sales_logs!$C:$C,DATE($C$1,$E$1,AC$3),sales_logs!$I:$I,TRUE)&gt;0,"중복확인",IF(COUNTIFS(sales_logs!$B:$B,$A9,sales_logs!$C:$C,DATE($C$1,$E$1,AC$3),sales_logs!$D:$D,"휴무",sales_logs!$I:$I,FALSE)&gt;0,"휴무",IF(COUNTIFS(sales_logs!$B:$B,$A9,sales_logs!$C:$C,DATE($C$1,$E$1,AC$3),sales_logs!$I:$I,FALSE)=0,"미입력",SUMIFS(sales_logs!$E:$E,sales_logs!$B:$B,$A9,sales_logs!$C:$C,DATE($C$1,$E$1,AC$3),sales_logs!$D:$D,"영업",sales_logs!$I:$I,FALSE)))))))</f>
        <v/>
      </c>
      <c r="AD9">
        <f>IF($A9="","",IF(MONTH(DATE($C$1,$E$1,AD$3))&lt;&gt;$E$1,"---",IF(DATE($C$1,$E$1,AD$3)&gt;TODAY(),"",IF(COUNTIFS(sales_logs!$B:$B,$A9,sales_logs!$C:$C,DATE($C$1,$E$1,AD$3),sales_logs!$I:$I,TRUE)&gt;0,"중복확인",IF(COUNTIFS(sales_logs!$B:$B,$A9,sales_logs!$C:$C,DATE($C$1,$E$1,AD$3),sales_logs!$D:$D,"휴무",sales_logs!$I:$I,FALSE)&gt;0,"휴무",IF(COUNTIFS(sales_logs!$B:$B,$A9,sales_logs!$C:$C,DATE($C$1,$E$1,AD$3),sales_logs!$I:$I,FALSE)=0,"미입력",SUMIFS(sales_logs!$E:$E,sales_logs!$B:$B,$A9,sales_logs!$C:$C,DATE($C$1,$E$1,AD$3),sales_logs!$D:$D,"영업",sales_logs!$I:$I,FALSE)))))))</f>
        <v/>
      </c>
      <c r="AE9">
        <f>IF($A9="","",IF(MONTH(DATE($C$1,$E$1,AE$3))&lt;&gt;$E$1,"---",IF(DATE($C$1,$E$1,AE$3)&gt;TODAY(),"",IF(COUNTIFS(sales_logs!$B:$B,$A9,sales_logs!$C:$C,DATE($C$1,$E$1,AE$3),sales_logs!$I:$I,TRUE)&gt;0,"중복확인",IF(COUNTIFS(sales_logs!$B:$B,$A9,sales_logs!$C:$C,DATE($C$1,$E$1,AE$3),sales_logs!$D:$D,"휴무",sales_logs!$I:$I,FALSE)&gt;0,"휴무",IF(COUNTIFS(sales_logs!$B:$B,$A9,sales_logs!$C:$C,DATE($C$1,$E$1,AE$3),sales_logs!$I:$I,FALSE)=0,"미입력",SUMIFS(sales_logs!$E:$E,sales_logs!$B:$B,$A9,sales_logs!$C:$C,DATE($C$1,$E$1,AE$3),sales_logs!$D:$D,"영업",sales_logs!$I:$I,FALSE)))))))</f>
        <v/>
      </c>
      <c r="AF9">
        <f>IF($A9="","",IF(MONTH(DATE($C$1,$E$1,AF$3))&lt;&gt;$E$1,"---",IF(DATE($C$1,$E$1,AF$3)&gt;TODAY(),"",IF(COUNTIFS(sales_logs!$B:$B,$A9,sales_logs!$C:$C,DATE($C$1,$E$1,AF$3),sales_logs!$I:$I,TRUE)&gt;0,"중복확인",IF(COUNTIFS(sales_logs!$B:$B,$A9,sales_logs!$C:$C,DATE($C$1,$E$1,AF$3),sales_logs!$D:$D,"휴무",sales_logs!$I:$I,FALSE)&gt;0,"휴무",IF(COUNTIFS(sales_logs!$B:$B,$A9,sales_logs!$C:$C,DATE($C$1,$E$1,AF$3),sales_logs!$I:$I,FALSE)=0,"미입력",SUMIFS(sales_logs!$E:$E,sales_logs!$B:$B,$A9,sales_logs!$C:$C,DATE($C$1,$E$1,AF$3),sales_logs!$D:$D,"영업",sales_logs!$I:$I,FALSE)))))))</f>
        <v/>
      </c>
      <c r="AG9">
        <f>IF($A9="","",IF(MONTH(DATE($C$1,$E$1,AG$3))&lt;&gt;$E$1,"---",IF(DATE($C$1,$E$1,AG$3)&gt;TODAY(),"",IF(COUNTIFS(sales_logs!$B:$B,$A9,sales_logs!$C:$C,DATE($C$1,$E$1,AG$3),sales_logs!$I:$I,TRUE)&gt;0,"중복확인",IF(COUNTIFS(sales_logs!$B:$B,$A9,sales_logs!$C:$C,DATE($C$1,$E$1,AG$3),sales_logs!$D:$D,"휴무",sales_logs!$I:$I,FALSE)&gt;0,"휴무",IF(COUNTIFS(sales_logs!$B:$B,$A9,sales_logs!$C:$C,DATE($C$1,$E$1,AG$3),sales_logs!$I:$I,FALSE)=0,"미입력",SUMIFS(sales_logs!$E:$E,sales_logs!$B:$B,$A9,sales_logs!$C:$C,DATE($C$1,$E$1,AG$3),sales_logs!$D:$D,"영업",sales_logs!$I:$I,FALSE)))))))</f>
        <v/>
      </c>
      <c r="AH9">
        <f>IF($A9="","",IF(MONTH(DATE($C$1,$E$1,AH$3))&lt;&gt;$E$1,"---",IF(DATE($C$1,$E$1,AH$3)&gt;TODAY(),"",IF(COUNTIFS(sales_logs!$B:$B,$A9,sales_logs!$C:$C,DATE($C$1,$E$1,AH$3),sales_logs!$I:$I,TRUE)&gt;0,"중복확인",IF(COUNTIFS(sales_logs!$B:$B,$A9,sales_logs!$C:$C,DATE($C$1,$E$1,AH$3),sales_logs!$D:$D,"휴무",sales_logs!$I:$I,FALSE)&gt;0,"휴무",IF(COUNTIFS(sales_logs!$B:$B,$A9,sales_logs!$C:$C,DATE($C$1,$E$1,AH$3),sales_logs!$I:$I,FALSE)=0,"미입력",SUMIFS(sales_logs!$E:$E,sales_logs!$B:$B,$A9,sales_logs!$C:$C,DATE($C$1,$E$1,AH$3),sales_logs!$D:$D,"영업",sales_logs!$I:$I,FALSE)))))))</f>
        <v/>
      </c>
      <c r="AI9">
        <f>IF($A9="","",IF(MONTH(DATE($C$1,$E$1,AI$3))&lt;&gt;$E$1,"---",IF(DATE($C$1,$E$1,AI$3)&gt;TODAY(),"",IF(COUNTIFS(sales_logs!$B:$B,$A9,sales_logs!$C:$C,DATE($C$1,$E$1,AI$3),sales_logs!$I:$I,TRUE)&gt;0,"중복확인",IF(COUNTIFS(sales_logs!$B:$B,$A9,sales_logs!$C:$C,DATE($C$1,$E$1,AI$3),sales_logs!$D:$D,"휴무",sales_logs!$I:$I,FALSE)&gt;0,"휴무",IF(COUNTIFS(sales_logs!$B:$B,$A9,sales_logs!$C:$C,DATE($C$1,$E$1,AI$3),sales_logs!$I:$I,FALSE)=0,"미입력",SUMIFS(sales_logs!$E:$E,sales_logs!$B:$B,$A9,sales_logs!$C:$C,DATE($C$1,$E$1,AI$3),sales_logs!$D:$D,"영업",sales_logs!$I:$I,FALSE)))))))</f>
        <v/>
      </c>
      <c r="AJ9">
        <f>IF($A9="","",IF(MONTH(DATE($C$1,$E$1,AJ$3))&lt;&gt;$E$1,"---",IF(DATE($C$1,$E$1,AJ$3)&gt;TODAY(),"",IF(COUNTIFS(sales_logs!$B:$B,$A9,sales_logs!$C:$C,DATE($C$1,$E$1,AJ$3),sales_logs!$I:$I,TRUE)&gt;0,"중복확인",IF(COUNTIFS(sales_logs!$B:$B,$A9,sales_logs!$C:$C,DATE($C$1,$E$1,AJ$3),sales_logs!$D:$D,"휴무",sales_logs!$I:$I,FALSE)&gt;0,"휴무",IF(COUNTIFS(sales_logs!$B:$B,$A9,sales_logs!$C:$C,DATE($C$1,$E$1,AJ$3),sales_logs!$I:$I,FALSE)=0,"미입력",SUMIFS(sales_logs!$E:$E,sales_logs!$B:$B,$A9,sales_logs!$C:$C,DATE($C$1,$E$1,AJ$3),sales_logs!$D:$D,"영업",sales_logs!$I:$I,FALSE)))))))</f>
        <v/>
      </c>
      <c r="AK9">
        <f>IF($A9="","",IF(MONTH(DATE($C$1,$E$1,AK$3))&lt;&gt;$E$1,"---",IF(DATE($C$1,$E$1,AK$3)&gt;TODAY(),"",IF(COUNTIFS(sales_logs!$B:$B,$A9,sales_logs!$C:$C,DATE($C$1,$E$1,AK$3),sales_logs!$I:$I,TRUE)&gt;0,"중복확인",IF(COUNTIFS(sales_logs!$B:$B,$A9,sales_logs!$C:$C,DATE($C$1,$E$1,AK$3),sales_logs!$D:$D,"휴무",sales_logs!$I:$I,FALSE)&gt;0,"휴무",IF(COUNTIFS(sales_logs!$B:$B,$A9,sales_logs!$C:$C,DATE($C$1,$E$1,AK$3),sales_logs!$I:$I,FALSE)=0,"미입력",SUMIFS(sales_logs!$E:$E,sales_logs!$B:$B,$A9,sales_logs!$C:$C,DATE($C$1,$E$1,AK$3),sales_logs!$D:$D,"영업",sales_logs!$I:$I,FALSE)))))))</f>
        <v/>
      </c>
      <c r="AL9">
        <f>IF($A9="","",IF(MONTH(DATE($C$1,$E$1,AL$3))&lt;&gt;$E$1,"---",IF(DATE($C$1,$E$1,AL$3)&gt;TODAY(),"",IF(COUNTIFS(sales_logs!$B:$B,$A9,sales_logs!$C:$C,DATE($C$1,$E$1,AL$3),sales_logs!$I:$I,TRUE)&gt;0,"중복확인",IF(COUNTIFS(sales_logs!$B:$B,$A9,sales_logs!$C:$C,DATE($C$1,$E$1,AL$3),sales_logs!$D:$D,"휴무",sales_logs!$I:$I,FALSE)&gt;0,"휴무",IF(COUNTIFS(sales_logs!$B:$B,$A9,sales_logs!$C:$C,DATE($C$1,$E$1,AL$3),sales_logs!$I:$I,FALSE)=0,"미입력",SUMIFS(sales_logs!$E:$E,sales_logs!$B:$B,$A9,sales_logs!$C:$C,DATE($C$1,$E$1,AL$3),sales_logs!$D:$D,"영업",sales_logs!$I:$I,FALSE)))))))</f>
        <v/>
      </c>
      <c r="AM9">
        <f>IF($A9="","",IF(MONTH(DATE($C$1,$E$1,AM$3))&lt;&gt;$E$1,"---",IF(DATE($C$1,$E$1,AM$3)&gt;TODAY(),"",IF(COUNTIFS(sales_logs!$B:$B,$A9,sales_logs!$C:$C,DATE($C$1,$E$1,AM$3),sales_logs!$I:$I,TRUE)&gt;0,"중복확인",IF(COUNTIFS(sales_logs!$B:$B,$A9,sales_logs!$C:$C,DATE($C$1,$E$1,AM$3),sales_logs!$D:$D,"휴무",sales_logs!$I:$I,FALSE)&gt;0,"휴무",IF(COUNTIFS(sales_logs!$B:$B,$A9,sales_logs!$C:$C,DATE($C$1,$E$1,AM$3),sales_logs!$I:$I,FALSE)=0,"미입력",SUMIFS(sales_logs!$E:$E,sales_logs!$B:$B,$A9,sales_logs!$C:$C,DATE($C$1,$E$1,AM$3),sales_logs!$D:$D,"영업",sales_logs!$I:$I,FALSE)))))))</f>
        <v/>
      </c>
      <c r="AN9">
        <f>IF($A9="","",IF(MONTH(DATE($C$1,$E$1,AN$3))&lt;&gt;$E$1,"---",IF(DATE($C$1,$E$1,AN$3)&gt;TODAY(),"",IF(COUNTIFS(sales_logs!$B:$B,$A9,sales_logs!$C:$C,DATE($C$1,$E$1,AN$3),sales_logs!$I:$I,TRUE)&gt;0,"중복확인",IF(COUNTIFS(sales_logs!$B:$B,$A9,sales_logs!$C:$C,DATE($C$1,$E$1,AN$3),sales_logs!$D:$D,"휴무",sales_logs!$I:$I,FALSE)&gt;0,"휴무",IF(COUNTIFS(sales_logs!$B:$B,$A9,sales_logs!$C:$C,DATE($C$1,$E$1,AN$3),sales_logs!$I:$I,FALSE)=0,"미입력",SUMIFS(sales_logs!$E:$E,sales_logs!$B:$B,$A9,sales_logs!$C:$C,DATE($C$1,$E$1,AN$3),sales_logs!$D:$D,"영업",sales_logs!$I:$I,FALSE)))))))</f>
        <v/>
      </c>
      <c r="AO9">
        <f>IF($A9="","",IF(MONTH(DATE($C$1,$E$1,AO$3))&lt;&gt;$E$1,"---",IF(DATE($C$1,$E$1,AO$3)&gt;TODAY(),"",IF(COUNTIFS(sales_logs!$B:$B,$A9,sales_logs!$C:$C,DATE($C$1,$E$1,AO$3),sales_logs!$I:$I,TRUE)&gt;0,"중복확인",IF(COUNTIFS(sales_logs!$B:$B,$A9,sales_logs!$C:$C,DATE($C$1,$E$1,AO$3),sales_logs!$D:$D,"휴무",sales_logs!$I:$I,FALSE)&gt;0,"휴무",IF(COUNTIFS(sales_logs!$B:$B,$A9,sales_logs!$C:$C,DATE($C$1,$E$1,AO$3),sales_logs!$I:$I,FALSE)=0,"미입력",SUMIFS(sales_logs!$E:$E,sales_logs!$B:$B,$A9,sales_logs!$C:$C,DATE($C$1,$E$1,AO$3),sales_logs!$D:$D,"영업",sales_logs!$I:$I,FALSE)))))))</f>
        <v/>
      </c>
    </row>
    <row r="10">
      <c r="A10">
        <f>IFERROR(INDEX(FILTER(stores!$A$2:$A,stores!$G$2:$G="active"),ROW()-3),"")</f>
        <v/>
      </c>
      <c r="B10">
        <f>IF($A10="","",VLOOKUP($A10,stores!$A:$B,2,0))</f>
        <v/>
      </c>
      <c r="C10">
        <f>IF($A10="","",VLOOKUP($A10,stores!$A:$C,3,0))</f>
        <v/>
      </c>
      <c r="D10">
        <f>IF($A10="","",IF(DATE($C$1,$E$1,1)&gt;TODAY(),0,IFERROR(COUNTUNIQUE(FILTER(sales_logs!$C$2:$C$1000,sales_logs!$B$2:$B$1000=$A10,sales_logs!$C$2:$C$1000&gt;=DATE($C$1,$E$1,1),sales_logs!$C$2:$C$1000&lt;=MIN(TODAY(),EOMONTH(DATE($C$1,$E$1,1),0)),sales_logs!$I$2:$I$1000=FALSE))/DAY(MIN(TODAY(),EOMONTH(DATE($C$1,$E$1,1),0))),0)))</f>
        <v/>
      </c>
      <c r="E10">
        <f>IF($A10="","",IF(DATE($C$1,$E$1,1)&gt;TODAY(),0,DAY(MIN(TODAY(),EOMONTH(DATE($C$1,$E$1,1),0)))-IFERROR(COUNTUNIQUE(FILTER(sales_logs!$C$2:$C$1000,sales_logs!$B$2:$B$1000=$A10,sales_logs!$C$2:$C$1000&gt;=DATE($C$1,$E$1,1),sales_logs!$C$2:$C$1000&lt;=MIN(TODAY(),EOMONTH(DATE($C$1,$E$1,1),0)),sales_logs!$I$2:$I$1000=FALSE)),0)))</f>
        <v/>
      </c>
      <c r="F10">
        <f>IF($A10="","",COUNTIFS(sales_logs!$B:$B,$A10,sales_logs!$C:$C,"&gt;="&amp;DATE($C$1,$E$1,1),sales_logs!$C:$C,"&lt;="&amp;EOMONTH(DATE($C$1,$E$1,1),0),sales_logs!$D:$D,"휴무",sales_logs!$I:$I,FALSE))</f>
        <v/>
      </c>
      <c r="G10">
        <f>IF($A10="","",COUNTIFS(sales_logs!$B:$B,$A10,sales_logs!$C:$C,"&gt;="&amp;DATE($C$1,$E$1,1),sales_logs!$C:$C,"&lt;="&amp;EOMONTH(DATE($C$1,$E$1,1),0),sales_logs!$D:$D,"영업",sales_logs!$I:$I,FALSE))</f>
        <v/>
      </c>
      <c r="H10">
        <f>IF($A10="","",SUMIFS(sales_logs!$E:$E,sales_logs!$B:$B,$A10,sales_logs!$C:$C,"&gt;="&amp;DATE($C$1,$E$1,1),sales_logs!$C:$C,"&lt;="&amp;EOMONTH(DATE($C$1,$E$1,1),0),sales_logs!$D:$D,"영업",sales_logs!$I:$I,FALSE))</f>
        <v/>
      </c>
      <c r="I10">
        <f>IF(OR($A10="",G10=0),"",H10/G10)</f>
        <v/>
      </c>
      <c r="J10">
        <f>IF($A10="","",LET(cur_end, MIN(TODAY(),EOMONTH(DATE($C$1,$E$1,1),0)),cmp_day, DAY(cur_end),prev_start, DATE($C$1,$E$1-1,1),prev_end, MIN(DATE($C$1,$E$1-1,cmp_day),EOMONTH(DATE($C$1,$E$1-1,1),0)),cur_sales, SUMIFS(sales_logs!$E:$E,sales_logs!$B:$B,$A10,sales_logs!$C:$C,"&gt;="&amp;DATE($C$1,$E$1,1),sales_logs!$C:$C,"&lt;="&amp;cur_end,sales_logs!$D:$D,"영업",sales_logs!$I:$I,FALSE),prev_sales, SUMIFS(sales_logs!$E:$E,sales_logs!$B:$B,$A10,sales_logs!$C:$C,"&gt;="&amp;prev_start,sales_logs!$C:$C,"&lt;="&amp;prev_end,sales_logs!$D:$D,"영업",sales_logs!$I:$I,FALSE),IF(prev_sales=0,"데이터부족",(cur_sales-prev_sales)/prev_sales)))</f>
        <v/>
      </c>
      <c r="K10">
        <f>IF($A10="","",IF(MONTH(DATE($C$1,$E$1,K$3))&lt;&gt;$E$1,"---",IF(DATE($C$1,$E$1,K$3)&gt;TODAY(),"",IF(COUNTIFS(sales_logs!$B:$B,$A10,sales_logs!$C:$C,DATE($C$1,$E$1,K$3),sales_logs!$I:$I,TRUE)&gt;0,"중복확인",IF(COUNTIFS(sales_logs!$B:$B,$A10,sales_logs!$C:$C,DATE($C$1,$E$1,K$3),sales_logs!$D:$D,"휴무",sales_logs!$I:$I,FALSE)&gt;0,"휴무",IF(COUNTIFS(sales_logs!$B:$B,$A10,sales_logs!$C:$C,DATE($C$1,$E$1,K$3),sales_logs!$I:$I,FALSE)=0,"미입력",SUMIFS(sales_logs!$E:$E,sales_logs!$B:$B,$A10,sales_logs!$C:$C,DATE($C$1,$E$1,K$3),sales_logs!$D:$D,"영업",sales_logs!$I:$I,FALSE)))))))</f>
        <v/>
      </c>
      <c r="L10">
        <f>IF($A10="","",IF(MONTH(DATE($C$1,$E$1,L$3))&lt;&gt;$E$1,"---",IF(DATE($C$1,$E$1,L$3)&gt;TODAY(),"",IF(COUNTIFS(sales_logs!$B:$B,$A10,sales_logs!$C:$C,DATE($C$1,$E$1,L$3),sales_logs!$I:$I,TRUE)&gt;0,"중복확인",IF(COUNTIFS(sales_logs!$B:$B,$A10,sales_logs!$C:$C,DATE($C$1,$E$1,L$3),sales_logs!$D:$D,"휴무",sales_logs!$I:$I,FALSE)&gt;0,"휴무",IF(COUNTIFS(sales_logs!$B:$B,$A10,sales_logs!$C:$C,DATE($C$1,$E$1,L$3),sales_logs!$I:$I,FALSE)=0,"미입력",SUMIFS(sales_logs!$E:$E,sales_logs!$B:$B,$A10,sales_logs!$C:$C,DATE($C$1,$E$1,L$3),sales_logs!$D:$D,"영업",sales_logs!$I:$I,FALSE)))))))</f>
        <v/>
      </c>
      <c r="M10">
        <f>IF($A10="","",IF(MONTH(DATE($C$1,$E$1,M$3))&lt;&gt;$E$1,"---",IF(DATE($C$1,$E$1,M$3)&gt;TODAY(),"",IF(COUNTIFS(sales_logs!$B:$B,$A10,sales_logs!$C:$C,DATE($C$1,$E$1,M$3),sales_logs!$I:$I,TRUE)&gt;0,"중복확인",IF(COUNTIFS(sales_logs!$B:$B,$A10,sales_logs!$C:$C,DATE($C$1,$E$1,M$3),sales_logs!$D:$D,"휴무",sales_logs!$I:$I,FALSE)&gt;0,"휴무",IF(COUNTIFS(sales_logs!$B:$B,$A10,sales_logs!$C:$C,DATE($C$1,$E$1,M$3),sales_logs!$I:$I,FALSE)=0,"미입력",SUMIFS(sales_logs!$E:$E,sales_logs!$B:$B,$A10,sales_logs!$C:$C,DATE($C$1,$E$1,M$3),sales_logs!$D:$D,"영업",sales_logs!$I:$I,FALSE)))))))</f>
        <v/>
      </c>
      <c r="N10">
        <f>IF($A10="","",IF(MONTH(DATE($C$1,$E$1,N$3))&lt;&gt;$E$1,"---",IF(DATE($C$1,$E$1,N$3)&gt;TODAY(),"",IF(COUNTIFS(sales_logs!$B:$B,$A10,sales_logs!$C:$C,DATE($C$1,$E$1,N$3),sales_logs!$I:$I,TRUE)&gt;0,"중복확인",IF(COUNTIFS(sales_logs!$B:$B,$A10,sales_logs!$C:$C,DATE($C$1,$E$1,N$3),sales_logs!$D:$D,"휴무",sales_logs!$I:$I,FALSE)&gt;0,"휴무",IF(COUNTIFS(sales_logs!$B:$B,$A10,sales_logs!$C:$C,DATE($C$1,$E$1,N$3),sales_logs!$I:$I,FALSE)=0,"미입력",SUMIFS(sales_logs!$E:$E,sales_logs!$B:$B,$A10,sales_logs!$C:$C,DATE($C$1,$E$1,N$3),sales_logs!$D:$D,"영업",sales_logs!$I:$I,FALSE)))))))</f>
        <v/>
      </c>
      <c r="O10">
        <f>IF($A10="","",IF(MONTH(DATE($C$1,$E$1,O$3))&lt;&gt;$E$1,"---",IF(DATE($C$1,$E$1,O$3)&gt;TODAY(),"",IF(COUNTIFS(sales_logs!$B:$B,$A10,sales_logs!$C:$C,DATE($C$1,$E$1,O$3),sales_logs!$I:$I,TRUE)&gt;0,"중복확인",IF(COUNTIFS(sales_logs!$B:$B,$A10,sales_logs!$C:$C,DATE($C$1,$E$1,O$3),sales_logs!$D:$D,"휴무",sales_logs!$I:$I,FALSE)&gt;0,"휴무",IF(COUNTIFS(sales_logs!$B:$B,$A10,sales_logs!$C:$C,DATE($C$1,$E$1,O$3),sales_logs!$I:$I,FALSE)=0,"미입력",SUMIFS(sales_logs!$E:$E,sales_logs!$B:$B,$A10,sales_logs!$C:$C,DATE($C$1,$E$1,O$3),sales_logs!$D:$D,"영업",sales_logs!$I:$I,FALSE)))))))</f>
        <v/>
      </c>
      <c r="P10">
        <f>IF($A10="","",IF(MONTH(DATE($C$1,$E$1,P$3))&lt;&gt;$E$1,"---",IF(DATE($C$1,$E$1,P$3)&gt;TODAY(),"",IF(COUNTIFS(sales_logs!$B:$B,$A10,sales_logs!$C:$C,DATE($C$1,$E$1,P$3),sales_logs!$I:$I,TRUE)&gt;0,"중복확인",IF(COUNTIFS(sales_logs!$B:$B,$A10,sales_logs!$C:$C,DATE($C$1,$E$1,P$3),sales_logs!$D:$D,"휴무",sales_logs!$I:$I,FALSE)&gt;0,"휴무",IF(COUNTIFS(sales_logs!$B:$B,$A10,sales_logs!$C:$C,DATE($C$1,$E$1,P$3),sales_logs!$I:$I,FALSE)=0,"미입력",SUMIFS(sales_logs!$E:$E,sales_logs!$B:$B,$A10,sales_logs!$C:$C,DATE($C$1,$E$1,P$3),sales_logs!$D:$D,"영업",sales_logs!$I:$I,FALSE)))))))</f>
        <v/>
      </c>
      <c r="Q10">
        <f>IF($A10="","",IF(MONTH(DATE($C$1,$E$1,Q$3))&lt;&gt;$E$1,"---",IF(DATE($C$1,$E$1,Q$3)&gt;TODAY(),"",IF(COUNTIFS(sales_logs!$B:$B,$A10,sales_logs!$C:$C,DATE($C$1,$E$1,Q$3),sales_logs!$I:$I,TRUE)&gt;0,"중복확인",IF(COUNTIFS(sales_logs!$B:$B,$A10,sales_logs!$C:$C,DATE($C$1,$E$1,Q$3),sales_logs!$D:$D,"휴무",sales_logs!$I:$I,FALSE)&gt;0,"휴무",IF(COUNTIFS(sales_logs!$B:$B,$A10,sales_logs!$C:$C,DATE($C$1,$E$1,Q$3),sales_logs!$I:$I,FALSE)=0,"미입력",SUMIFS(sales_logs!$E:$E,sales_logs!$B:$B,$A10,sales_logs!$C:$C,DATE($C$1,$E$1,Q$3),sales_logs!$D:$D,"영업",sales_logs!$I:$I,FALSE)))))))</f>
        <v/>
      </c>
      <c r="R10">
        <f>IF($A10="","",IF(MONTH(DATE($C$1,$E$1,R$3))&lt;&gt;$E$1,"---",IF(DATE($C$1,$E$1,R$3)&gt;TODAY(),"",IF(COUNTIFS(sales_logs!$B:$B,$A10,sales_logs!$C:$C,DATE($C$1,$E$1,R$3),sales_logs!$I:$I,TRUE)&gt;0,"중복확인",IF(COUNTIFS(sales_logs!$B:$B,$A10,sales_logs!$C:$C,DATE($C$1,$E$1,R$3),sales_logs!$D:$D,"휴무",sales_logs!$I:$I,FALSE)&gt;0,"휴무",IF(COUNTIFS(sales_logs!$B:$B,$A10,sales_logs!$C:$C,DATE($C$1,$E$1,R$3),sales_logs!$I:$I,FALSE)=0,"미입력",SUMIFS(sales_logs!$E:$E,sales_logs!$B:$B,$A10,sales_logs!$C:$C,DATE($C$1,$E$1,R$3),sales_logs!$D:$D,"영업",sales_logs!$I:$I,FALSE)))))))</f>
        <v/>
      </c>
      <c r="S10">
        <f>IF($A10="","",IF(MONTH(DATE($C$1,$E$1,S$3))&lt;&gt;$E$1,"---",IF(DATE($C$1,$E$1,S$3)&gt;TODAY(),"",IF(COUNTIFS(sales_logs!$B:$B,$A10,sales_logs!$C:$C,DATE($C$1,$E$1,S$3),sales_logs!$I:$I,TRUE)&gt;0,"중복확인",IF(COUNTIFS(sales_logs!$B:$B,$A10,sales_logs!$C:$C,DATE($C$1,$E$1,S$3),sales_logs!$D:$D,"휴무",sales_logs!$I:$I,FALSE)&gt;0,"휴무",IF(COUNTIFS(sales_logs!$B:$B,$A10,sales_logs!$C:$C,DATE($C$1,$E$1,S$3),sales_logs!$I:$I,FALSE)=0,"미입력",SUMIFS(sales_logs!$E:$E,sales_logs!$B:$B,$A10,sales_logs!$C:$C,DATE($C$1,$E$1,S$3),sales_logs!$D:$D,"영업",sales_logs!$I:$I,FALSE)))))))</f>
        <v/>
      </c>
      <c r="T10">
        <f>IF($A10="","",IF(MONTH(DATE($C$1,$E$1,T$3))&lt;&gt;$E$1,"---",IF(DATE($C$1,$E$1,T$3)&gt;TODAY(),"",IF(COUNTIFS(sales_logs!$B:$B,$A10,sales_logs!$C:$C,DATE($C$1,$E$1,T$3),sales_logs!$I:$I,TRUE)&gt;0,"중복확인",IF(COUNTIFS(sales_logs!$B:$B,$A10,sales_logs!$C:$C,DATE($C$1,$E$1,T$3),sales_logs!$D:$D,"휴무",sales_logs!$I:$I,FALSE)&gt;0,"휴무",IF(COUNTIFS(sales_logs!$B:$B,$A10,sales_logs!$C:$C,DATE($C$1,$E$1,T$3),sales_logs!$I:$I,FALSE)=0,"미입력",SUMIFS(sales_logs!$E:$E,sales_logs!$B:$B,$A10,sales_logs!$C:$C,DATE($C$1,$E$1,T$3),sales_logs!$D:$D,"영업",sales_logs!$I:$I,FALSE)))))))</f>
        <v/>
      </c>
      <c r="U10">
        <f>IF($A10="","",IF(MONTH(DATE($C$1,$E$1,U$3))&lt;&gt;$E$1,"---",IF(DATE($C$1,$E$1,U$3)&gt;TODAY(),"",IF(COUNTIFS(sales_logs!$B:$B,$A10,sales_logs!$C:$C,DATE($C$1,$E$1,U$3),sales_logs!$I:$I,TRUE)&gt;0,"중복확인",IF(COUNTIFS(sales_logs!$B:$B,$A10,sales_logs!$C:$C,DATE($C$1,$E$1,U$3),sales_logs!$D:$D,"휴무",sales_logs!$I:$I,FALSE)&gt;0,"휴무",IF(COUNTIFS(sales_logs!$B:$B,$A10,sales_logs!$C:$C,DATE($C$1,$E$1,U$3),sales_logs!$I:$I,FALSE)=0,"미입력",SUMIFS(sales_logs!$E:$E,sales_logs!$B:$B,$A10,sales_logs!$C:$C,DATE($C$1,$E$1,U$3),sales_logs!$D:$D,"영업",sales_logs!$I:$I,FALSE)))))))</f>
        <v/>
      </c>
      <c r="V10">
        <f>IF($A10="","",IF(MONTH(DATE($C$1,$E$1,V$3))&lt;&gt;$E$1,"---",IF(DATE($C$1,$E$1,V$3)&gt;TODAY(),"",IF(COUNTIFS(sales_logs!$B:$B,$A10,sales_logs!$C:$C,DATE($C$1,$E$1,V$3),sales_logs!$I:$I,TRUE)&gt;0,"중복확인",IF(COUNTIFS(sales_logs!$B:$B,$A10,sales_logs!$C:$C,DATE($C$1,$E$1,V$3),sales_logs!$D:$D,"휴무",sales_logs!$I:$I,FALSE)&gt;0,"휴무",IF(COUNTIFS(sales_logs!$B:$B,$A10,sales_logs!$C:$C,DATE($C$1,$E$1,V$3),sales_logs!$I:$I,FALSE)=0,"미입력",SUMIFS(sales_logs!$E:$E,sales_logs!$B:$B,$A10,sales_logs!$C:$C,DATE($C$1,$E$1,V$3),sales_logs!$D:$D,"영업",sales_logs!$I:$I,FALSE)))))))</f>
        <v/>
      </c>
      <c r="W10">
        <f>IF($A10="","",IF(MONTH(DATE($C$1,$E$1,W$3))&lt;&gt;$E$1,"---",IF(DATE($C$1,$E$1,W$3)&gt;TODAY(),"",IF(COUNTIFS(sales_logs!$B:$B,$A10,sales_logs!$C:$C,DATE($C$1,$E$1,W$3),sales_logs!$I:$I,TRUE)&gt;0,"중복확인",IF(COUNTIFS(sales_logs!$B:$B,$A10,sales_logs!$C:$C,DATE($C$1,$E$1,W$3),sales_logs!$D:$D,"휴무",sales_logs!$I:$I,FALSE)&gt;0,"휴무",IF(COUNTIFS(sales_logs!$B:$B,$A10,sales_logs!$C:$C,DATE($C$1,$E$1,W$3),sales_logs!$I:$I,FALSE)=0,"미입력",SUMIFS(sales_logs!$E:$E,sales_logs!$B:$B,$A10,sales_logs!$C:$C,DATE($C$1,$E$1,W$3),sales_logs!$D:$D,"영업",sales_logs!$I:$I,FALSE)))))))</f>
        <v/>
      </c>
      <c r="X10">
        <f>IF($A10="","",IF(MONTH(DATE($C$1,$E$1,X$3))&lt;&gt;$E$1,"---",IF(DATE($C$1,$E$1,X$3)&gt;TODAY(),"",IF(COUNTIFS(sales_logs!$B:$B,$A10,sales_logs!$C:$C,DATE($C$1,$E$1,X$3),sales_logs!$I:$I,TRUE)&gt;0,"중복확인",IF(COUNTIFS(sales_logs!$B:$B,$A10,sales_logs!$C:$C,DATE($C$1,$E$1,X$3),sales_logs!$D:$D,"휴무",sales_logs!$I:$I,FALSE)&gt;0,"휴무",IF(COUNTIFS(sales_logs!$B:$B,$A10,sales_logs!$C:$C,DATE($C$1,$E$1,X$3),sales_logs!$I:$I,FALSE)=0,"미입력",SUMIFS(sales_logs!$E:$E,sales_logs!$B:$B,$A10,sales_logs!$C:$C,DATE($C$1,$E$1,X$3),sales_logs!$D:$D,"영업",sales_logs!$I:$I,FALSE)))))))</f>
        <v/>
      </c>
      <c r="Y10">
        <f>IF($A10="","",IF(MONTH(DATE($C$1,$E$1,Y$3))&lt;&gt;$E$1,"---",IF(DATE($C$1,$E$1,Y$3)&gt;TODAY(),"",IF(COUNTIFS(sales_logs!$B:$B,$A10,sales_logs!$C:$C,DATE($C$1,$E$1,Y$3),sales_logs!$I:$I,TRUE)&gt;0,"중복확인",IF(COUNTIFS(sales_logs!$B:$B,$A10,sales_logs!$C:$C,DATE($C$1,$E$1,Y$3),sales_logs!$D:$D,"휴무",sales_logs!$I:$I,FALSE)&gt;0,"휴무",IF(COUNTIFS(sales_logs!$B:$B,$A10,sales_logs!$C:$C,DATE($C$1,$E$1,Y$3),sales_logs!$I:$I,FALSE)=0,"미입력",SUMIFS(sales_logs!$E:$E,sales_logs!$B:$B,$A10,sales_logs!$C:$C,DATE($C$1,$E$1,Y$3),sales_logs!$D:$D,"영업",sales_logs!$I:$I,FALSE)))))))</f>
        <v/>
      </c>
      <c r="Z10">
        <f>IF($A10="","",IF(MONTH(DATE($C$1,$E$1,Z$3))&lt;&gt;$E$1,"---",IF(DATE($C$1,$E$1,Z$3)&gt;TODAY(),"",IF(COUNTIFS(sales_logs!$B:$B,$A10,sales_logs!$C:$C,DATE($C$1,$E$1,Z$3),sales_logs!$I:$I,TRUE)&gt;0,"중복확인",IF(COUNTIFS(sales_logs!$B:$B,$A10,sales_logs!$C:$C,DATE($C$1,$E$1,Z$3),sales_logs!$D:$D,"휴무",sales_logs!$I:$I,FALSE)&gt;0,"휴무",IF(COUNTIFS(sales_logs!$B:$B,$A10,sales_logs!$C:$C,DATE($C$1,$E$1,Z$3),sales_logs!$I:$I,FALSE)=0,"미입력",SUMIFS(sales_logs!$E:$E,sales_logs!$B:$B,$A10,sales_logs!$C:$C,DATE($C$1,$E$1,Z$3),sales_logs!$D:$D,"영업",sales_logs!$I:$I,FALSE)))))))</f>
        <v/>
      </c>
      <c r="AA10">
        <f>IF($A10="","",IF(MONTH(DATE($C$1,$E$1,AA$3))&lt;&gt;$E$1,"---",IF(DATE($C$1,$E$1,AA$3)&gt;TODAY(),"",IF(COUNTIFS(sales_logs!$B:$B,$A10,sales_logs!$C:$C,DATE($C$1,$E$1,AA$3),sales_logs!$I:$I,TRUE)&gt;0,"중복확인",IF(COUNTIFS(sales_logs!$B:$B,$A10,sales_logs!$C:$C,DATE($C$1,$E$1,AA$3),sales_logs!$D:$D,"휴무",sales_logs!$I:$I,FALSE)&gt;0,"휴무",IF(COUNTIFS(sales_logs!$B:$B,$A10,sales_logs!$C:$C,DATE($C$1,$E$1,AA$3),sales_logs!$I:$I,FALSE)=0,"미입력",SUMIFS(sales_logs!$E:$E,sales_logs!$B:$B,$A10,sales_logs!$C:$C,DATE($C$1,$E$1,AA$3),sales_logs!$D:$D,"영업",sales_logs!$I:$I,FALSE)))))))</f>
        <v/>
      </c>
      <c r="AB10">
        <f>IF($A10="","",IF(MONTH(DATE($C$1,$E$1,AB$3))&lt;&gt;$E$1,"---",IF(DATE($C$1,$E$1,AB$3)&gt;TODAY(),"",IF(COUNTIFS(sales_logs!$B:$B,$A10,sales_logs!$C:$C,DATE($C$1,$E$1,AB$3),sales_logs!$I:$I,TRUE)&gt;0,"중복확인",IF(COUNTIFS(sales_logs!$B:$B,$A10,sales_logs!$C:$C,DATE($C$1,$E$1,AB$3),sales_logs!$D:$D,"휴무",sales_logs!$I:$I,FALSE)&gt;0,"휴무",IF(COUNTIFS(sales_logs!$B:$B,$A10,sales_logs!$C:$C,DATE($C$1,$E$1,AB$3),sales_logs!$I:$I,FALSE)=0,"미입력",SUMIFS(sales_logs!$E:$E,sales_logs!$B:$B,$A10,sales_logs!$C:$C,DATE($C$1,$E$1,AB$3),sales_logs!$D:$D,"영업",sales_logs!$I:$I,FALSE)))))))</f>
        <v/>
      </c>
      <c r="AC10">
        <f>IF($A10="","",IF(MONTH(DATE($C$1,$E$1,AC$3))&lt;&gt;$E$1,"---",IF(DATE($C$1,$E$1,AC$3)&gt;TODAY(),"",IF(COUNTIFS(sales_logs!$B:$B,$A10,sales_logs!$C:$C,DATE($C$1,$E$1,AC$3),sales_logs!$I:$I,TRUE)&gt;0,"중복확인",IF(COUNTIFS(sales_logs!$B:$B,$A10,sales_logs!$C:$C,DATE($C$1,$E$1,AC$3),sales_logs!$D:$D,"휴무",sales_logs!$I:$I,FALSE)&gt;0,"휴무",IF(COUNTIFS(sales_logs!$B:$B,$A10,sales_logs!$C:$C,DATE($C$1,$E$1,AC$3),sales_logs!$I:$I,FALSE)=0,"미입력",SUMIFS(sales_logs!$E:$E,sales_logs!$B:$B,$A10,sales_logs!$C:$C,DATE($C$1,$E$1,AC$3),sales_logs!$D:$D,"영업",sales_logs!$I:$I,FALSE)))))))</f>
        <v/>
      </c>
      <c r="AD10">
        <f>IF($A10="","",IF(MONTH(DATE($C$1,$E$1,AD$3))&lt;&gt;$E$1,"---",IF(DATE($C$1,$E$1,AD$3)&gt;TODAY(),"",IF(COUNTIFS(sales_logs!$B:$B,$A10,sales_logs!$C:$C,DATE($C$1,$E$1,AD$3),sales_logs!$I:$I,TRUE)&gt;0,"중복확인",IF(COUNTIFS(sales_logs!$B:$B,$A10,sales_logs!$C:$C,DATE($C$1,$E$1,AD$3),sales_logs!$D:$D,"휴무",sales_logs!$I:$I,FALSE)&gt;0,"휴무",IF(COUNTIFS(sales_logs!$B:$B,$A10,sales_logs!$C:$C,DATE($C$1,$E$1,AD$3),sales_logs!$I:$I,FALSE)=0,"미입력",SUMIFS(sales_logs!$E:$E,sales_logs!$B:$B,$A10,sales_logs!$C:$C,DATE($C$1,$E$1,AD$3),sales_logs!$D:$D,"영업",sales_logs!$I:$I,FALSE)))))))</f>
        <v/>
      </c>
      <c r="AE10">
        <f>IF($A10="","",IF(MONTH(DATE($C$1,$E$1,AE$3))&lt;&gt;$E$1,"---",IF(DATE($C$1,$E$1,AE$3)&gt;TODAY(),"",IF(COUNTIFS(sales_logs!$B:$B,$A10,sales_logs!$C:$C,DATE($C$1,$E$1,AE$3),sales_logs!$I:$I,TRUE)&gt;0,"중복확인",IF(COUNTIFS(sales_logs!$B:$B,$A10,sales_logs!$C:$C,DATE($C$1,$E$1,AE$3),sales_logs!$D:$D,"휴무",sales_logs!$I:$I,FALSE)&gt;0,"휴무",IF(COUNTIFS(sales_logs!$B:$B,$A10,sales_logs!$C:$C,DATE($C$1,$E$1,AE$3),sales_logs!$I:$I,FALSE)=0,"미입력",SUMIFS(sales_logs!$E:$E,sales_logs!$B:$B,$A10,sales_logs!$C:$C,DATE($C$1,$E$1,AE$3),sales_logs!$D:$D,"영업",sales_logs!$I:$I,FALSE)))))))</f>
        <v/>
      </c>
      <c r="AF10">
        <f>IF($A10="","",IF(MONTH(DATE($C$1,$E$1,AF$3))&lt;&gt;$E$1,"---",IF(DATE($C$1,$E$1,AF$3)&gt;TODAY(),"",IF(COUNTIFS(sales_logs!$B:$B,$A10,sales_logs!$C:$C,DATE($C$1,$E$1,AF$3),sales_logs!$I:$I,TRUE)&gt;0,"중복확인",IF(COUNTIFS(sales_logs!$B:$B,$A10,sales_logs!$C:$C,DATE($C$1,$E$1,AF$3),sales_logs!$D:$D,"휴무",sales_logs!$I:$I,FALSE)&gt;0,"휴무",IF(COUNTIFS(sales_logs!$B:$B,$A10,sales_logs!$C:$C,DATE($C$1,$E$1,AF$3),sales_logs!$I:$I,FALSE)=0,"미입력",SUMIFS(sales_logs!$E:$E,sales_logs!$B:$B,$A10,sales_logs!$C:$C,DATE($C$1,$E$1,AF$3),sales_logs!$D:$D,"영업",sales_logs!$I:$I,FALSE)))))))</f>
        <v/>
      </c>
      <c r="AG10">
        <f>IF($A10="","",IF(MONTH(DATE($C$1,$E$1,AG$3))&lt;&gt;$E$1,"---",IF(DATE($C$1,$E$1,AG$3)&gt;TODAY(),"",IF(COUNTIFS(sales_logs!$B:$B,$A10,sales_logs!$C:$C,DATE($C$1,$E$1,AG$3),sales_logs!$I:$I,TRUE)&gt;0,"중복확인",IF(COUNTIFS(sales_logs!$B:$B,$A10,sales_logs!$C:$C,DATE($C$1,$E$1,AG$3),sales_logs!$D:$D,"휴무",sales_logs!$I:$I,FALSE)&gt;0,"휴무",IF(COUNTIFS(sales_logs!$B:$B,$A10,sales_logs!$C:$C,DATE($C$1,$E$1,AG$3),sales_logs!$I:$I,FALSE)=0,"미입력",SUMIFS(sales_logs!$E:$E,sales_logs!$B:$B,$A10,sales_logs!$C:$C,DATE($C$1,$E$1,AG$3),sales_logs!$D:$D,"영업",sales_logs!$I:$I,FALSE)))))))</f>
        <v/>
      </c>
      <c r="AH10">
        <f>IF($A10="","",IF(MONTH(DATE($C$1,$E$1,AH$3))&lt;&gt;$E$1,"---",IF(DATE($C$1,$E$1,AH$3)&gt;TODAY(),"",IF(COUNTIFS(sales_logs!$B:$B,$A10,sales_logs!$C:$C,DATE($C$1,$E$1,AH$3),sales_logs!$I:$I,TRUE)&gt;0,"중복확인",IF(COUNTIFS(sales_logs!$B:$B,$A10,sales_logs!$C:$C,DATE($C$1,$E$1,AH$3),sales_logs!$D:$D,"휴무",sales_logs!$I:$I,FALSE)&gt;0,"휴무",IF(COUNTIFS(sales_logs!$B:$B,$A10,sales_logs!$C:$C,DATE($C$1,$E$1,AH$3),sales_logs!$I:$I,FALSE)=0,"미입력",SUMIFS(sales_logs!$E:$E,sales_logs!$B:$B,$A10,sales_logs!$C:$C,DATE($C$1,$E$1,AH$3),sales_logs!$D:$D,"영업",sales_logs!$I:$I,FALSE)))))))</f>
        <v/>
      </c>
      <c r="AI10">
        <f>IF($A10="","",IF(MONTH(DATE($C$1,$E$1,AI$3))&lt;&gt;$E$1,"---",IF(DATE($C$1,$E$1,AI$3)&gt;TODAY(),"",IF(COUNTIFS(sales_logs!$B:$B,$A10,sales_logs!$C:$C,DATE($C$1,$E$1,AI$3),sales_logs!$I:$I,TRUE)&gt;0,"중복확인",IF(COUNTIFS(sales_logs!$B:$B,$A10,sales_logs!$C:$C,DATE($C$1,$E$1,AI$3),sales_logs!$D:$D,"휴무",sales_logs!$I:$I,FALSE)&gt;0,"휴무",IF(COUNTIFS(sales_logs!$B:$B,$A10,sales_logs!$C:$C,DATE($C$1,$E$1,AI$3),sales_logs!$I:$I,FALSE)=0,"미입력",SUMIFS(sales_logs!$E:$E,sales_logs!$B:$B,$A10,sales_logs!$C:$C,DATE($C$1,$E$1,AI$3),sales_logs!$D:$D,"영업",sales_logs!$I:$I,FALSE)))))))</f>
        <v/>
      </c>
      <c r="AJ10">
        <f>IF($A10="","",IF(MONTH(DATE($C$1,$E$1,AJ$3))&lt;&gt;$E$1,"---",IF(DATE($C$1,$E$1,AJ$3)&gt;TODAY(),"",IF(COUNTIFS(sales_logs!$B:$B,$A10,sales_logs!$C:$C,DATE($C$1,$E$1,AJ$3),sales_logs!$I:$I,TRUE)&gt;0,"중복확인",IF(COUNTIFS(sales_logs!$B:$B,$A10,sales_logs!$C:$C,DATE($C$1,$E$1,AJ$3),sales_logs!$D:$D,"휴무",sales_logs!$I:$I,FALSE)&gt;0,"휴무",IF(COUNTIFS(sales_logs!$B:$B,$A10,sales_logs!$C:$C,DATE($C$1,$E$1,AJ$3),sales_logs!$I:$I,FALSE)=0,"미입력",SUMIFS(sales_logs!$E:$E,sales_logs!$B:$B,$A10,sales_logs!$C:$C,DATE($C$1,$E$1,AJ$3),sales_logs!$D:$D,"영업",sales_logs!$I:$I,FALSE)))))))</f>
        <v/>
      </c>
      <c r="AK10">
        <f>IF($A10="","",IF(MONTH(DATE($C$1,$E$1,AK$3))&lt;&gt;$E$1,"---",IF(DATE($C$1,$E$1,AK$3)&gt;TODAY(),"",IF(COUNTIFS(sales_logs!$B:$B,$A10,sales_logs!$C:$C,DATE($C$1,$E$1,AK$3),sales_logs!$I:$I,TRUE)&gt;0,"중복확인",IF(COUNTIFS(sales_logs!$B:$B,$A10,sales_logs!$C:$C,DATE($C$1,$E$1,AK$3),sales_logs!$D:$D,"휴무",sales_logs!$I:$I,FALSE)&gt;0,"휴무",IF(COUNTIFS(sales_logs!$B:$B,$A10,sales_logs!$C:$C,DATE($C$1,$E$1,AK$3),sales_logs!$I:$I,FALSE)=0,"미입력",SUMIFS(sales_logs!$E:$E,sales_logs!$B:$B,$A10,sales_logs!$C:$C,DATE($C$1,$E$1,AK$3),sales_logs!$D:$D,"영업",sales_logs!$I:$I,FALSE)))))))</f>
        <v/>
      </c>
      <c r="AL10">
        <f>IF($A10="","",IF(MONTH(DATE($C$1,$E$1,AL$3))&lt;&gt;$E$1,"---",IF(DATE($C$1,$E$1,AL$3)&gt;TODAY(),"",IF(COUNTIFS(sales_logs!$B:$B,$A10,sales_logs!$C:$C,DATE($C$1,$E$1,AL$3),sales_logs!$I:$I,TRUE)&gt;0,"중복확인",IF(COUNTIFS(sales_logs!$B:$B,$A10,sales_logs!$C:$C,DATE($C$1,$E$1,AL$3),sales_logs!$D:$D,"휴무",sales_logs!$I:$I,FALSE)&gt;0,"휴무",IF(COUNTIFS(sales_logs!$B:$B,$A10,sales_logs!$C:$C,DATE($C$1,$E$1,AL$3),sales_logs!$I:$I,FALSE)=0,"미입력",SUMIFS(sales_logs!$E:$E,sales_logs!$B:$B,$A10,sales_logs!$C:$C,DATE($C$1,$E$1,AL$3),sales_logs!$D:$D,"영업",sales_logs!$I:$I,FALSE)))))))</f>
        <v/>
      </c>
      <c r="AM10">
        <f>IF($A10="","",IF(MONTH(DATE($C$1,$E$1,AM$3))&lt;&gt;$E$1,"---",IF(DATE($C$1,$E$1,AM$3)&gt;TODAY(),"",IF(COUNTIFS(sales_logs!$B:$B,$A10,sales_logs!$C:$C,DATE($C$1,$E$1,AM$3),sales_logs!$I:$I,TRUE)&gt;0,"중복확인",IF(COUNTIFS(sales_logs!$B:$B,$A10,sales_logs!$C:$C,DATE($C$1,$E$1,AM$3),sales_logs!$D:$D,"휴무",sales_logs!$I:$I,FALSE)&gt;0,"휴무",IF(COUNTIFS(sales_logs!$B:$B,$A10,sales_logs!$C:$C,DATE($C$1,$E$1,AM$3),sales_logs!$I:$I,FALSE)=0,"미입력",SUMIFS(sales_logs!$E:$E,sales_logs!$B:$B,$A10,sales_logs!$C:$C,DATE($C$1,$E$1,AM$3),sales_logs!$D:$D,"영업",sales_logs!$I:$I,FALSE)))))))</f>
        <v/>
      </c>
      <c r="AN10">
        <f>IF($A10="","",IF(MONTH(DATE($C$1,$E$1,AN$3))&lt;&gt;$E$1,"---",IF(DATE($C$1,$E$1,AN$3)&gt;TODAY(),"",IF(COUNTIFS(sales_logs!$B:$B,$A10,sales_logs!$C:$C,DATE($C$1,$E$1,AN$3),sales_logs!$I:$I,TRUE)&gt;0,"중복확인",IF(COUNTIFS(sales_logs!$B:$B,$A10,sales_logs!$C:$C,DATE($C$1,$E$1,AN$3),sales_logs!$D:$D,"휴무",sales_logs!$I:$I,FALSE)&gt;0,"휴무",IF(COUNTIFS(sales_logs!$B:$B,$A10,sales_logs!$C:$C,DATE($C$1,$E$1,AN$3),sales_logs!$I:$I,FALSE)=0,"미입력",SUMIFS(sales_logs!$E:$E,sales_logs!$B:$B,$A10,sales_logs!$C:$C,DATE($C$1,$E$1,AN$3),sales_logs!$D:$D,"영업",sales_logs!$I:$I,FALSE)))))))</f>
        <v/>
      </c>
      <c r="AO10">
        <f>IF($A10="","",IF(MONTH(DATE($C$1,$E$1,AO$3))&lt;&gt;$E$1,"---",IF(DATE($C$1,$E$1,AO$3)&gt;TODAY(),"",IF(COUNTIFS(sales_logs!$B:$B,$A10,sales_logs!$C:$C,DATE($C$1,$E$1,AO$3),sales_logs!$I:$I,TRUE)&gt;0,"중복확인",IF(COUNTIFS(sales_logs!$B:$B,$A10,sales_logs!$C:$C,DATE($C$1,$E$1,AO$3),sales_logs!$D:$D,"휴무",sales_logs!$I:$I,FALSE)&gt;0,"휴무",IF(COUNTIFS(sales_logs!$B:$B,$A10,sales_logs!$C:$C,DATE($C$1,$E$1,AO$3),sales_logs!$I:$I,FALSE)=0,"미입력",SUMIFS(sales_logs!$E:$E,sales_logs!$B:$B,$A10,sales_logs!$C:$C,DATE($C$1,$E$1,AO$3),sales_logs!$D:$D,"영업",sales_logs!$I:$I,FALSE)))))))</f>
        <v/>
      </c>
    </row>
    <row r="11">
      <c r="A11">
        <f>IFERROR(INDEX(FILTER(stores!$A$2:$A,stores!$G$2:$G="active"),ROW()-3),"")</f>
        <v/>
      </c>
      <c r="B11">
        <f>IF($A11="","",VLOOKUP($A11,stores!$A:$B,2,0))</f>
        <v/>
      </c>
      <c r="C11">
        <f>IF($A11="","",VLOOKUP($A11,stores!$A:$C,3,0))</f>
        <v/>
      </c>
      <c r="D11">
        <f>IF($A11="","",IF(DATE($C$1,$E$1,1)&gt;TODAY(),0,IFERROR(COUNTUNIQUE(FILTER(sales_logs!$C$2:$C$1000,sales_logs!$B$2:$B$1000=$A11,sales_logs!$C$2:$C$1000&gt;=DATE($C$1,$E$1,1),sales_logs!$C$2:$C$1000&lt;=MIN(TODAY(),EOMONTH(DATE($C$1,$E$1,1),0)),sales_logs!$I$2:$I$1000=FALSE))/DAY(MIN(TODAY(),EOMONTH(DATE($C$1,$E$1,1),0))),0)))</f>
        <v/>
      </c>
      <c r="E11">
        <f>IF($A11="","",IF(DATE($C$1,$E$1,1)&gt;TODAY(),0,DAY(MIN(TODAY(),EOMONTH(DATE($C$1,$E$1,1),0)))-IFERROR(COUNTUNIQUE(FILTER(sales_logs!$C$2:$C$1000,sales_logs!$B$2:$B$1000=$A11,sales_logs!$C$2:$C$1000&gt;=DATE($C$1,$E$1,1),sales_logs!$C$2:$C$1000&lt;=MIN(TODAY(),EOMONTH(DATE($C$1,$E$1,1),0)),sales_logs!$I$2:$I$1000=FALSE)),0)))</f>
        <v/>
      </c>
      <c r="F11">
        <f>IF($A11="","",COUNTIFS(sales_logs!$B:$B,$A11,sales_logs!$C:$C,"&gt;="&amp;DATE($C$1,$E$1,1),sales_logs!$C:$C,"&lt;="&amp;EOMONTH(DATE($C$1,$E$1,1),0),sales_logs!$D:$D,"휴무",sales_logs!$I:$I,FALSE))</f>
        <v/>
      </c>
      <c r="G11">
        <f>IF($A11="","",COUNTIFS(sales_logs!$B:$B,$A11,sales_logs!$C:$C,"&gt;="&amp;DATE($C$1,$E$1,1),sales_logs!$C:$C,"&lt;="&amp;EOMONTH(DATE($C$1,$E$1,1),0),sales_logs!$D:$D,"영업",sales_logs!$I:$I,FALSE))</f>
        <v/>
      </c>
      <c r="H11">
        <f>IF($A11="","",SUMIFS(sales_logs!$E:$E,sales_logs!$B:$B,$A11,sales_logs!$C:$C,"&gt;="&amp;DATE($C$1,$E$1,1),sales_logs!$C:$C,"&lt;="&amp;EOMONTH(DATE($C$1,$E$1,1),0),sales_logs!$D:$D,"영업",sales_logs!$I:$I,FALSE))</f>
        <v/>
      </c>
      <c r="I11">
        <f>IF(OR($A11="",G11=0),"",H11/G11)</f>
        <v/>
      </c>
      <c r="J11">
        <f>IF($A11="","",LET(cur_end, MIN(TODAY(),EOMONTH(DATE($C$1,$E$1,1),0)),cmp_day, DAY(cur_end),prev_start, DATE($C$1,$E$1-1,1),prev_end, MIN(DATE($C$1,$E$1-1,cmp_day),EOMONTH(DATE($C$1,$E$1-1,1),0)),cur_sales, SUMIFS(sales_logs!$E:$E,sales_logs!$B:$B,$A11,sales_logs!$C:$C,"&gt;="&amp;DATE($C$1,$E$1,1),sales_logs!$C:$C,"&lt;="&amp;cur_end,sales_logs!$D:$D,"영업",sales_logs!$I:$I,FALSE),prev_sales, SUMIFS(sales_logs!$E:$E,sales_logs!$B:$B,$A11,sales_logs!$C:$C,"&gt;="&amp;prev_start,sales_logs!$C:$C,"&lt;="&amp;prev_end,sales_logs!$D:$D,"영업",sales_logs!$I:$I,FALSE),IF(prev_sales=0,"데이터부족",(cur_sales-prev_sales)/prev_sales)))</f>
        <v/>
      </c>
      <c r="K11">
        <f>IF($A11="","",IF(MONTH(DATE($C$1,$E$1,K$3))&lt;&gt;$E$1,"---",IF(DATE($C$1,$E$1,K$3)&gt;TODAY(),"",IF(COUNTIFS(sales_logs!$B:$B,$A11,sales_logs!$C:$C,DATE($C$1,$E$1,K$3),sales_logs!$I:$I,TRUE)&gt;0,"중복확인",IF(COUNTIFS(sales_logs!$B:$B,$A11,sales_logs!$C:$C,DATE($C$1,$E$1,K$3),sales_logs!$D:$D,"휴무",sales_logs!$I:$I,FALSE)&gt;0,"휴무",IF(COUNTIFS(sales_logs!$B:$B,$A11,sales_logs!$C:$C,DATE($C$1,$E$1,K$3),sales_logs!$I:$I,FALSE)=0,"미입력",SUMIFS(sales_logs!$E:$E,sales_logs!$B:$B,$A11,sales_logs!$C:$C,DATE($C$1,$E$1,K$3),sales_logs!$D:$D,"영업",sales_logs!$I:$I,FALSE)))))))</f>
        <v/>
      </c>
      <c r="L11">
        <f>IF($A11="","",IF(MONTH(DATE($C$1,$E$1,L$3))&lt;&gt;$E$1,"---",IF(DATE($C$1,$E$1,L$3)&gt;TODAY(),"",IF(COUNTIFS(sales_logs!$B:$B,$A11,sales_logs!$C:$C,DATE($C$1,$E$1,L$3),sales_logs!$I:$I,TRUE)&gt;0,"중복확인",IF(COUNTIFS(sales_logs!$B:$B,$A11,sales_logs!$C:$C,DATE($C$1,$E$1,L$3),sales_logs!$D:$D,"휴무",sales_logs!$I:$I,FALSE)&gt;0,"휴무",IF(COUNTIFS(sales_logs!$B:$B,$A11,sales_logs!$C:$C,DATE($C$1,$E$1,L$3),sales_logs!$I:$I,FALSE)=0,"미입력",SUMIFS(sales_logs!$E:$E,sales_logs!$B:$B,$A11,sales_logs!$C:$C,DATE($C$1,$E$1,L$3),sales_logs!$D:$D,"영업",sales_logs!$I:$I,FALSE)))))))</f>
        <v/>
      </c>
      <c r="M11">
        <f>IF($A11="","",IF(MONTH(DATE($C$1,$E$1,M$3))&lt;&gt;$E$1,"---",IF(DATE($C$1,$E$1,M$3)&gt;TODAY(),"",IF(COUNTIFS(sales_logs!$B:$B,$A11,sales_logs!$C:$C,DATE($C$1,$E$1,M$3),sales_logs!$I:$I,TRUE)&gt;0,"중복확인",IF(COUNTIFS(sales_logs!$B:$B,$A11,sales_logs!$C:$C,DATE($C$1,$E$1,M$3),sales_logs!$D:$D,"휴무",sales_logs!$I:$I,FALSE)&gt;0,"휴무",IF(COUNTIFS(sales_logs!$B:$B,$A11,sales_logs!$C:$C,DATE($C$1,$E$1,M$3),sales_logs!$I:$I,FALSE)=0,"미입력",SUMIFS(sales_logs!$E:$E,sales_logs!$B:$B,$A11,sales_logs!$C:$C,DATE($C$1,$E$1,M$3),sales_logs!$D:$D,"영업",sales_logs!$I:$I,FALSE)))))))</f>
        <v/>
      </c>
      <c r="N11">
        <f>IF($A11="","",IF(MONTH(DATE($C$1,$E$1,N$3))&lt;&gt;$E$1,"---",IF(DATE($C$1,$E$1,N$3)&gt;TODAY(),"",IF(COUNTIFS(sales_logs!$B:$B,$A11,sales_logs!$C:$C,DATE($C$1,$E$1,N$3),sales_logs!$I:$I,TRUE)&gt;0,"중복확인",IF(COUNTIFS(sales_logs!$B:$B,$A11,sales_logs!$C:$C,DATE($C$1,$E$1,N$3),sales_logs!$D:$D,"휴무",sales_logs!$I:$I,FALSE)&gt;0,"휴무",IF(COUNTIFS(sales_logs!$B:$B,$A11,sales_logs!$C:$C,DATE($C$1,$E$1,N$3),sales_logs!$I:$I,FALSE)=0,"미입력",SUMIFS(sales_logs!$E:$E,sales_logs!$B:$B,$A11,sales_logs!$C:$C,DATE($C$1,$E$1,N$3),sales_logs!$D:$D,"영업",sales_logs!$I:$I,FALSE)))))))</f>
        <v/>
      </c>
      <c r="O11">
        <f>IF($A11="","",IF(MONTH(DATE($C$1,$E$1,O$3))&lt;&gt;$E$1,"---",IF(DATE($C$1,$E$1,O$3)&gt;TODAY(),"",IF(COUNTIFS(sales_logs!$B:$B,$A11,sales_logs!$C:$C,DATE($C$1,$E$1,O$3),sales_logs!$I:$I,TRUE)&gt;0,"중복확인",IF(COUNTIFS(sales_logs!$B:$B,$A11,sales_logs!$C:$C,DATE($C$1,$E$1,O$3),sales_logs!$D:$D,"휴무",sales_logs!$I:$I,FALSE)&gt;0,"휴무",IF(COUNTIFS(sales_logs!$B:$B,$A11,sales_logs!$C:$C,DATE($C$1,$E$1,O$3),sales_logs!$I:$I,FALSE)=0,"미입력",SUMIFS(sales_logs!$E:$E,sales_logs!$B:$B,$A11,sales_logs!$C:$C,DATE($C$1,$E$1,O$3),sales_logs!$D:$D,"영업",sales_logs!$I:$I,FALSE)))))))</f>
        <v/>
      </c>
      <c r="P11">
        <f>IF($A11="","",IF(MONTH(DATE($C$1,$E$1,P$3))&lt;&gt;$E$1,"---",IF(DATE($C$1,$E$1,P$3)&gt;TODAY(),"",IF(COUNTIFS(sales_logs!$B:$B,$A11,sales_logs!$C:$C,DATE($C$1,$E$1,P$3),sales_logs!$I:$I,TRUE)&gt;0,"중복확인",IF(COUNTIFS(sales_logs!$B:$B,$A11,sales_logs!$C:$C,DATE($C$1,$E$1,P$3),sales_logs!$D:$D,"휴무",sales_logs!$I:$I,FALSE)&gt;0,"휴무",IF(COUNTIFS(sales_logs!$B:$B,$A11,sales_logs!$C:$C,DATE($C$1,$E$1,P$3),sales_logs!$I:$I,FALSE)=0,"미입력",SUMIFS(sales_logs!$E:$E,sales_logs!$B:$B,$A11,sales_logs!$C:$C,DATE($C$1,$E$1,P$3),sales_logs!$D:$D,"영업",sales_logs!$I:$I,FALSE)))))))</f>
        <v/>
      </c>
      <c r="Q11">
        <f>IF($A11="","",IF(MONTH(DATE($C$1,$E$1,Q$3))&lt;&gt;$E$1,"---",IF(DATE($C$1,$E$1,Q$3)&gt;TODAY(),"",IF(COUNTIFS(sales_logs!$B:$B,$A11,sales_logs!$C:$C,DATE($C$1,$E$1,Q$3),sales_logs!$I:$I,TRUE)&gt;0,"중복확인",IF(COUNTIFS(sales_logs!$B:$B,$A11,sales_logs!$C:$C,DATE($C$1,$E$1,Q$3),sales_logs!$D:$D,"휴무",sales_logs!$I:$I,FALSE)&gt;0,"휴무",IF(COUNTIFS(sales_logs!$B:$B,$A11,sales_logs!$C:$C,DATE($C$1,$E$1,Q$3),sales_logs!$I:$I,FALSE)=0,"미입력",SUMIFS(sales_logs!$E:$E,sales_logs!$B:$B,$A11,sales_logs!$C:$C,DATE($C$1,$E$1,Q$3),sales_logs!$D:$D,"영업",sales_logs!$I:$I,FALSE)))))))</f>
        <v/>
      </c>
      <c r="R11">
        <f>IF($A11="","",IF(MONTH(DATE($C$1,$E$1,R$3))&lt;&gt;$E$1,"---",IF(DATE($C$1,$E$1,R$3)&gt;TODAY(),"",IF(COUNTIFS(sales_logs!$B:$B,$A11,sales_logs!$C:$C,DATE($C$1,$E$1,R$3),sales_logs!$I:$I,TRUE)&gt;0,"중복확인",IF(COUNTIFS(sales_logs!$B:$B,$A11,sales_logs!$C:$C,DATE($C$1,$E$1,R$3),sales_logs!$D:$D,"휴무",sales_logs!$I:$I,FALSE)&gt;0,"휴무",IF(COUNTIFS(sales_logs!$B:$B,$A11,sales_logs!$C:$C,DATE($C$1,$E$1,R$3),sales_logs!$I:$I,FALSE)=0,"미입력",SUMIFS(sales_logs!$E:$E,sales_logs!$B:$B,$A11,sales_logs!$C:$C,DATE($C$1,$E$1,R$3),sales_logs!$D:$D,"영업",sales_logs!$I:$I,FALSE)))))))</f>
        <v/>
      </c>
      <c r="S11">
        <f>IF($A11="","",IF(MONTH(DATE($C$1,$E$1,S$3))&lt;&gt;$E$1,"---",IF(DATE($C$1,$E$1,S$3)&gt;TODAY(),"",IF(COUNTIFS(sales_logs!$B:$B,$A11,sales_logs!$C:$C,DATE($C$1,$E$1,S$3),sales_logs!$I:$I,TRUE)&gt;0,"중복확인",IF(COUNTIFS(sales_logs!$B:$B,$A11,sales_logs!$C:$C,DATE($C$1,$E$1,S$3),sales_logs!$D:$D,"휴무",sales_logs!$I:$I,FALSE)&gt;0,"휴무",IF(COUNTIFS(sales_logs!$B:$B,$A11,sales_logs!$C:$C,DATE($C$1,$E$1,S$3),sales_logs!$I:$I,FALSE)=0,"미입력",SUMIFS(sales_logs!$E:$E,sales_logs!$B:$B,$A11,sales_logs!$C:$C,DATE($C$1,$E$1,S$3),sales_logs!$D:$D,"영업",sales_logs!$I:$I,FALSE)))))))</f>
        <v/>
      </c>
      <c r="T11">
        <f>IF($A11="","",IF(MONTH(DATE($C$1,$E$1,T$3))&lt;&gt;$E$1,"---",IF(DATE($C$1,$E$1,T$3)&gt;TODAY(),"",IF(COUNTIFS(sales_logs!$B:$B,$A11,sales_logs!$C:$C,DATE($C$1,$E$1,T$3),sales_logs!$I:$I,TRUE)&gt;0,"중복확인",IF(COUNTIFS(sales_logs!$B:$B,$A11,sales_logs!$C:$C,DATE($C$1,$E$1,T$3),sales_logs!$D:$D,"휴무",sales_logs!$I:$I,FALSE)&gt;0,"휴무",IF(COUNTIFS(sales_logs!$B:$B,$A11,sales_logs!$C:$C,DATE($C$1,$E$1,T$3),sales_logs!$I:$I,FALSE)=0,"미입력",SUMIFS(sales_logs!$E:$E,sales_logs!$B:$B,$A11,sales_logs!$C:$C,DATE($C$1,$E$1,T$3),sales_logs!$D:$D,"영업",sales_logs!$I:$I,FALSE)))))))</f>
        <v/>
      </c>
      <c r="U11">
        <f>IF($A11="","",IF(MONTH(DATE($C$1,$E$1,U$3))&lt;&gt;$E$1,"---",IF(DATE($C$1,$E$1,U$3)&gt;TODAY(),"",IF(COUNTIFS(sales_logs!$B:$B,$A11,sales_logs!$C:$C,DATE($C$1,$E$1,U$3),sales_logs!$I:$I,TRUE)&gt;0,"중복확인",IF(COUNTIFS(sales_logs!$B:$B,$A11,sales_logs!$C:$C,DATE($C$1,$E$1,U$3),sales_logs!$D:$D,"휴무",sales_logs!$I:$I,FALSE)&gt;0,"휴무",IF(COUNTIFS(sales_logs!$B:$B,$A11,sales_logs!$C:$C,DATE($C$1,$E$1,U$3),sales_logs!$I:$I,FALSE)=0,"미입력",SUMIFS(sales_logs!$E:$E,sales_logs!$B:$B,$A11,sales_logs!$C:$C,DATE($C$1,$E$1,U$3),sales_logs!$D:$D,"영업",sales_logs!$I:$I,FALSE)))))))</f>
        <v/>
      </c>
      <c r="V11">
        <f>IF($A11="","",IF(MONTH(DATE($C$1,$E$1,V$3))&lt;&gt;$E$1,"---",IF(DATE($C$1,$E$1,V$3)&gt;TODAY(),"",IF(COUNTIFS(sales_logs!$B:$B,$A11,sales_logs!$C:$C,DATE($C$1,$E$1,V$3),sales_logs!$I:$I,TRUE)&gt;0,"중복확인",IF(COUNTIFS(sales_logs!$B:$B,$A11,sales_logs!$C:$C,DATE($C$1,$E$1,V$3),sales_logs!$D:$D,"휴무",sales_logs!$I:$I,FALSE)&gt;0,"휴무",IF(COUNTIFS(sales_logs!$B:$B,$A11,sales_logs!$C:$C,DATE($C$1,$E$1,V$3),sales_logs!$I:$I,FALSE)=0,"미입력",SUMIFS(sales_logs!$E:$E,sales_logs!$B:$B,$A11,sales_logs!$C:$C,DATE($C$1,$E$1,V$3),sales_logs!$D:$D,"영업",sales_logs!$I:$I,FALSE)))))))</f>
        <v/>
      </c>
      <c r="W11">
        <f>IF($A11="","",IF(MONTH(DATE($C$1,$E$1,W$3))&lt;&gt;$E$1,"---",IF(DATE($C$1,$E$1,W$3)&gt;TODAY(),"",IF(COUNTIFS(sales_logs!$B:$B,$A11,sales_logs!$C:$C,DATE($C$1,$E$1,W$3),sales_logs!$I:$I,TRUE)&gt;0,"중복확인",IF(COUNTIFS(sales_logs!$B:$B,$A11,sales_logs!$C:$C,DATE($C$1,$E$1,W$3),sales_logs!$D:$D,"휴무",sales_logs!$I:$I,FALSE)&gt;0,"휴무",IF(COUNTIFS(sales_logs!$B:$B,$A11,sales_logs!$C:$C,DATE($C$1,$E$1,W$3),sales_logs!$I:$I,FALSE)=0,"미입력",SUMIFS(sales_logs!$E:$E,sales_logs!$B:$B,$A11,sales_logs!$C:$C,DATE($C$1,$E$1,W$3),sales_logs!$D:$D,"영업",sales_logs!$I:$I,FALSE)))))))</f>
        <v/>
      </c>
      <c r="X11">
        <f>IF($A11="","",IF(MONTH(DATE($C$1,$E$1,X$3))&lt;&gt;$E$1,"---",IF(DATE($C$1,$E$1,X$3)&gt;TODAY(),"",IF(COUNTIFS(sales_logs!$B:$B,$A11,sales_logs!$C:$C,DATE($C$1,$E$1,X$3),sales_logs!$I:$I,TRUE)&gt;0,"중복확인",IF(COUNTIFS(sales_logs!$B:$B,$A11,sales_logs!$C:$C,DATE($C$1,$E$1,X$3),sales_logs!$D:$D,"휴무",sales_logs!$I:$I,FALSE)&gt;0,"휴무",IF(COUNTIFS(sales_logs!$B:$B,$A11,sales_logs!$C:$C,DATE($C$1,$E$1,X$3),sales_logs!$I:$I,FALSE)=0,"미입력",SUMIFS(sales_logs!$E:$E,sales_logs!$B:$B,$A11,sales_logs!$C:$C,DATE($C$1,$E$1,X$3),sales_logs!$D:$D,"영업",sales_logs!$I:$I,FALSE)))))))</f>
        <v/>
      </c>
      <c r="Y11">
        <f>IF($A11="","",IF(MONTH(DATE($C$1,$E$1,Y$3))&lt;&gt;$E$1,"---",IF(DATE($C$1,$E$1,Y$3)&gt;TODAY(),"",IF(COUNTIFS(sales_logs!$B:$B,$A11,sales_logs!$C:$C,DATE($C$1,$E$1,Y$3),sales_logs!$I:$I,TRUE)&gt;0,"중복확인",IF(COUNTIFS(sales_logs!$B:$B,$A11,sales_logs!$C:$C,DATE($C$1,$E$1,Y$3),sales_logs!$D:$D,"휴무",sales_logs!$I:$I,FALSE)&gt;0,"휴무",IF(COUNTIFS(sales_logs!$B:$B,$A11,sales_logs!$C:$C,DATE($C$1,$E$1,Y$3),sales_logs!$I:$I,FALSE)=0,"미입력",SUMIFS(sales_logs!$E:$E,sales_logs!$B:$B,$A11,sales_logs!$C:$C,DATE($C$1,$E$1,Y$3),sales_logs!$D:$D,"영업",sales_logs!$I:$I,FALSE)))))))</f>
        <v/>
      </c>
      <c r="Z11">
        <f>IF($A11="","",IF(MONTH(DATE($C$1,$E$1,Z$3))&lt;&gt;$E$1,"---",IF(DATE($C$1,$E$1,Z$3)&gt;TODAY(),"",IF(COUNTIFS(sales_logs!$B:$B,$A11,sales_logs!$C:$C,DATE($C$1,$E$1,Z$3),sales_logs!$I:$I,TRUE)&gt;0,"중복확인",IF(COUNTIFS(sales_logs!$B:$B,$A11,sales_logs!$C:$C,DATE($C$1,$E$1,Z$3),sales_logs!$D:$D,"휴무",sales_logs!$I:$I,FALSE)&gt;0,"휴무",IF(COUNTIFS(sales_logs!$B:$B,$A11,sales_logs!$C:$C,DATE($C$1,$E$1,Z$3),sales_logs!$I:$I,FALSE)=0,"미입력",SUMIFS(sales_logs!$E:$E,sales_logs!$B:$B,$A11,sales_logs!$C:$C,DATE($C$1,$E$1,Z$3),sales_logs!$D:$D,"영업",sales_logs!$I:$I,FALSE)))))))</f>
        <v/>
      </c>
      <c r="AA11">
        <f>IF($A11="","",IF(MONTH(DATE($C$1,$E$1,AA$3))&lt;&gt;$E$1,"---",IF(DATE($C$1,$E$1,AA$3)&gt;TODAY(),"",IF(COUNTIFS(sales_logs!$B:$B,$A11,sales_logs!$C:$C,DATE($C$1,$E$1,AA$3),sales_logs!$I:$I,TRUE)&gt;0,"중복확인",IF(COUNTIFS(sales_logs!$B:$B,$A11,sales_logs!$C:$C,DATE($C$1,$E$1,AA$3),sales_logs!$D:$D,"휴무",sales_logs!$I:$I,FALSE)&gt;0,"휴무",IF(COUNTIFS(sales_logs!$B:$B,$A11,sales_logs!$C:$C,DATE($C$1,$E$1,AA$3),sales_logs!$I:$I,FALSE)=0,"미입력",SUMIFS(sales_logs!$E:$E,sales_logs!$B:$B,$A11,sales_logs!$C:$C,DATE($C$1,$E$1,AA$3),sales_logs!$D:$D,"영업",sales_logs!$I:$I,FALSE)))))))</f>
        <v/>
      </c>
      <c r="AB11">
        <f>IF($A11="","",IF(MONTH(DATE($C$1,$E$1,AB$3))&lt;&gt;$E$1,"---",IF(DATE($C$1,$E$1,AB$3)&gt;TODAY(),"",IF(COUNTIFS(sales_logs!$B:$B,$A11,sales_logs!$C:$C,DATE($C$1,$E$1,AB$3),sales_logs!$I:$I,TRUE)&gt;0,"중복확인",IF(COUNTIFS(sales_logs!$B:$B,$A11,sales_logs!$C:$C,DATE($C$1,$E$1,AB$3),sales_logs!$D:$D,"휴무",sales_logs!$I:$I,FALSE)&gt;0,"휴무",IF(COUNTIFS(sales_logs!$B:$B,$A11,sales_logs!$C:$C,DATE($C$1,$E$1,AB$3),sales_logs!$I:$I,FALSE)=0,"미입력",SUMIFS(sales_logs!$E:$E,sales_logs!$B:$B,$A11,sales_logs!$C:$C,DATE($C$1,$E$1,AB$3),sales_logs!$D:$D,"영업",sales_logs!$I:$I,FALSE)))))))</f>
        <v/>
      </c>
      <c r="AC11">
        <f>IF($A11="","",IF(MONTH(DATE($C$1,$E$1,AC$3))&lt;&gt;$E$1,"---",IF(DATE($C$1,$E$1,AC$3)&gt;TODAY(),"",IF(COUNTIFS(sales_logs!$B:$B,$A11,sales_logs!$C:$C,DATE($C$1,$E$1,AC$3),sales_logs!$I:$I,TRUE)&gt;0,"중복확인",IF(COUNTIFS(sales_logs!$B:$B,$A11,sales_logs!$C:$C,DATE($C$1,$E$1,AC$3),sales_logs!$D:$D,"휴무",sales_logs!$I:$I,FALSE)&gt;0,"휴무",IF(COUNTIFS(sales_logs!$B:$B,$A11,sales_logs!$C:$C,DATE($C$1,$E$1,AC$3),sales_logs!$I:$I,FALSE)=0,"미입력",SUMIFS(sales_logs!$E:$E,sales_logs!$B:$B,$A11,sales_logs!$C:$C,DATE($C$1,$E$1,AC$3),sales_logs!$D:$D,"영업",sales_logs!$I:$I,FALSE)))))))</f>
        <v/>
      </c>
      <c r="AD11">
        <f>IF($A11="","",IF(MONTH(DATE($C$1,$E$1,AD$3))&lt;&gt;$E$1,"---",IF(DATE($C$1,$E$1,AD$3)&gt;TODAY(),"",IF(COUNTIFS(sales_logs!$B:$B,$A11,sales_logs!$C:$C,DATE($C$1,$E$1,AD$3),sales_logs!$I:$I,TRUE)&gt;0,"중복확인",IF(COUNTIFS(sales_logs!$B:$B,$A11,sales_logs!$C:$C,DATE($C$1,$E$1,AD$3),sales_logs!$D:$D,"휴무",sales_logs!$I:$I,FALSE)&gt;0,"휴무",IF(COUNTIFS(sales_logs!$B:$B,$A11,sales_logs!$C:$C,DATE($C$1,$E$1,AD$3),sales_logs!$I:$I,FALSE)=0,"미입력",SUMIFS(sales_logs!$E:$E,sales_logs!$B:$B,$A11,sales_logs!$C:$C,DATE($C$1,$E$1,AD$3),sales_logs!$D:$D,"영업",sales_logs!$I:$I,FALSE)))))))</f>
        <v/>
      </c>
      <c r="AE11">
        <f>IF($A11="","",IF(MONTH(DATE($C$1,$E$1,AE$3))&lt;&gt;$E$1,"---",IF(DATE($C$1,$E$1,AE$3)&gt;TODAY(),"",IF(COUNTIFS(sales_logs!$B:$B,$A11,sales_logs!$C:$C,DATE($C$1,$E$1,AE$3),sales_logs!$I:$I,TRUE)&gt;0,"중복확인",IF(COUNTIFS(sales_logs!$B:$B,$A11,sales_logs!$C:$C,DATE($C$1,$E$1,AE$3),sales_logs!$D:$D,"휴무",sales_logs!$I:$I,FALSE)&gt;0,"휴무",IF(COUNTIFS(sales_logs!$B:$B,$A11,sales_logs!$C:$C,DATE($C$1,$E$1,AE$3),sales_logs!$I:$I,FALSE)=0,"미입력",SUMIFS(sales_logs!$E:$E,sales_logs!$B:$B,$A11,sales_logs!$C:$C,DATE($C$1,$E$1,AE$3),sales_logs!$D:$D,"영업",sales_logs!$I:$I,FALSE)))))))</f>
        <v/>
      </c>
      <c r="AF11">
        <f>IF($A11="","",IF(MONTH(DATE($C$1,$E$1,AF$3))&lt;&gt;$E$1,"---",IF(DATE($C$1,$E$1,AF$3)&gt;TODAY(),"",IF(COUNTIFS(sales_logs!$B:$B,$A11,sales_logs!$C:$C,DATE($C$1,$E$1,AF$3),sales_logs!$I:$I,TRUE)&gt;0,"중복확인",IF(COUNTIFS(sales_logs!$B:$B,$A11,sales_logs!$C:$C,DATE($C$1,$E$1,AF$3),sales_logs!$D:$D,"휴무",sales_logs!$I:$I,FALSE)&gt;0,"휴무",IF(COUNTIFS(sales_logs!$B:$B,$A11,sales_logs!$C:$C,DATE($C$1,$E$1,AF$3),sales_logs!$I:$I,FALSE)=0,"미입력",SUMIFS(sales_logs!$E:$E,sales_logs!$B:$B,$A11,sales_logs!$C:$C,DATE($C$1,$E$1,AF$3),sales_logs!$D:$D,"영업",sales_logs!$I:$I,FALSE)))))))</f>
        <v/>
      </c>
      <c r="AG11">
        <f>IF($A11="","",IF(MONTH(DATE($C$1,$E$1,AG$3))&lt;&gt;$E$1,"---",IF(DATE($C$1,$E$1,AG$3)&gt;TODAY(),"",IF(COUNTIFS(sales_logs!$B:$B,$A11,sales_logs!$C:$C,DATE($C$1,$E$1,AG$3),sales_logs!$I:$I,TRUE)&gt;0,"중복확인",IF(COUNTIFS(sales_logs!$B:$B,$A11,sales_logs!$C:$C,DATE($C$1,$E$1,AG$3),sales_logs!$D:$D,"휴무",sales_logs!$I:$I,FALSE)&gt;0,"휴무",IF(COUNTIFS(sales_logs!$B:$B,$A11,sales_logs!$C:$C,DATE($C$1,$E$1,AG$3),sales_logs!$I:$I,FALSE)=0,"미입력",SUMIFS(sales_logs!$E:$E,sales_logs!$B:$B,$A11,sales_logs!$C:$C,DATE($C$1,$E$1,AG$3),sales_logs!$D:$D,"영업",sales_logs!$I:$I,FALSE)))))))</f>
        <v/>
      </c>
      <c r="AH11">
        <f>IF($A11="","",IF(MONTH(DATE($C$1,$E$1,AH$3))&lt;&gt;$E$1,"---",IF(DATE($C$1,$E$1,AH$3)&gt;TODAY(),"",IF(COUNTIFS(sales_logs!$B:$B,$A11,sales_logs!$C:$C,DATE($C$1,$E$1,AH$3),sales_logs!$I:$I,TRUE)&gt;0,"중복확인",IF(COUNTIFS(sales_logs!$B:$B,$A11,sales_logs!$C:$C,DATE($C$1,$E$1,AH$3),sales_logs!$D:$D,"휴무",sales_logs!$I:$I,FALSE)&gt;0,"휴무",IF(COUNTIFS(sales_logs!$B:$B,$A11,sales_logs!$C:$C,DATE($C$1,$E$1,AH$3),sales_logs!$I:$I,FALSE)=0,"미입력",SUMIFS(sales_logs!$E:$E,sales_logs!$B:$B,$A11,sales_logs!$C:$C,DATE($C$1,$E$1,AH$3),sales_logs!$D:$D,"영업",sales_logs!$I:$I,FALSE)))))))</f>
        <v/>
      </c>
      <c r="AI11">
        <f>IF($A11="","",IF(MONTH(DATE($C$1,$E$1,AI$3))&lt;&gt;$E$1,"---",IF(DATE($C$1,$E$1,AI$3)&gt;TODAY(),"",IF(COUNTIFS(sales_logs!$B:$B,$A11,sales_logs!$C:$C,DATE($C$1,$E$1,AI$3),sales_logs!$I:$I,TRUE)&gt;0,"중복확인",IF(COUNTIFS(sales_logs!$B:$B,$A11,sales_logs!$C:$C,DATE($C$1,$E$1,AI$3),sales_logs!$D:$D,"휴무",sales_logs!$I:$I,FALSE)&gt;0,"휴무",IF(COUNTIFS(sales_logs!$B:$B,$A11,sales_logs!$C:$C,DATE($C$1,$E$1,AI$3),sales_logs!$I:$I,FALSE)=0,"미입력",SUMIFS(sales_logs!$E:$E,sales_logs!$B:$B,$A11,sales_logs!$C:$C,DATE($C$1,$E$1,AI$3),sales_logs!$D:$D,"영업",sales_logs!$I:$I,FALSE)))))))</f>
        <v/>
      </c>
      <c r="AJ11">
        <f>IF($A11="","",IF(MONTH(DATE($C$1,$E$1,AJ$3))&lt;&gt;$E$1,"---",IF(DATE($C$1,$E$1,AJ$3)&gt;TODAY(),"",IF(COUNTIFS(sales_logs!$B:$B,$A11,sales_logs!$C:$C,DATE($C$1,$E$1,AJ$3),sales_logs!$I:$I,TRUE)&gt;0,"중복확인",IF(COUNTIFS(sales_logs!$B:$B,$A11,sales_logs!$C:$C,DATE($C$1,$E$1,AJ$3),sales_logs!$D:$D,"휴무",sales_logs!$I:$I,FALSE)&gt;0,"휴무",IF(COUNTIFS(sales_logs!$B:$B,$A11,sales_logs!$C:$C,DATE($C$1,$E$1,AJ$3),sales_logs!$I:$I,FALSE)=0,"미입력",SUMIFS(sales_logs!$E:$E,sales_logs!$B:$B,$A11,sales_logs!$C:$C,DATE($C$1,$E$1,AJ$3),sales_logs!$D:$D,"영업",sales_logs!$I:$I,FALSE)))))))</f>
        <v/>
      </c>
      <c r="AK11">
        <f>IF($A11="","",IF(MONTH(DATE($C$1,$E$1,AK$3))&lt;&gt;$E$1,"---",IF(DATE($C$1,$E$1,AK$3)&gt;TODAY(),"",IF(COUNTIFS(sales_logs!$B:$B,$A11,sales_logs!$C:$C,DATE($C$1,$E$1,AK$3),sales_logs!$I:$I,TRUE)&gt;0,"중복확인",IF(COUNTIFS(sales_logs!$B:$B,$A11,sales_logs!$C:$C,DATE($C$1,$E$1,AK$3),sales_logs!$D:$D,"휴무",sales_logs!$I:$I,FALSE)&gt;0,"휴무",IF(COUNTIFS(sales_logs!$B:$B,$A11,sales_logs!$C:$C,DATE($C$1,$E$1,AK$3),sales_logs!$I:$I,FALSE)=0,"미입력",SUMIFS(sales_logs!$E:$E,sales_logs!$B:$B,$A11,sales_logs!$C:$C,DATE($C$1,$E$1,AK$3),sales_logs!$D:$D,"영업",sales_logs!$I:$I,FALSE)))))))</f>
        <v/>
      </c>
      <c r="AL11">
        <f>IF($A11="","",IF(MONTH(DATE($C$1,$E$1,AL$3))&lt;&gt;$E$1,"---",IF(DATE($C$1,$E$1,AL$3)&gt;TODAY(),"",IF(COUNTIFS(sales_logs!$B:$B,$A11,sales_logs!$C:$C,DATE($C$1,$E$1,AL$3),sales_logs!$I:$I,TRUE)&gt;0,"중복확인",IF(COUNTIFS(sales_logs!$B:$B,$A11,sales_logs!$C:$C,DATE($C$1,$E$1,AL$3),sales_logs!$D:$D,"휴무",sales_logs!$I:$I,FALSE)&gt;0,"휴무",IF(COUNTIFS(sales_logs!$B:$B,$A11,sales_logs!$C:$C,DATE($C$1,$E$1,AL$3),sales_logs!$I:$I,FALSE)=0,"미입력",SUMIFS(sales_logs!$E:$E,sales_logs!$B:$B,$A11,sales_logs!$C:$C,DATE($C$1,$E$1,AL$3),sales_logs!$D:$D,"영업",sales_logs!$I:$I,FALSE)))))))</f>
        <v/>
      </c>
      <c r="AM11">
        <f>IF($A11="","",IF(MONTH(DATE($C$1,$E$1,AM$3))&lt;&gt;$E$1,"---",IF(DATE($C$1,$E$1,AM$3)&gt;TODAY(),"",IF(COUNTIFS(sales_logs!$B:$B,$A11,sales_logs!$C:$C,DATE($C$1,$E$1,AM$3),sales_logs!$I:$I,TRUE)&gt;0,"중복확인",IF(COUNTIFS(sales_logs!$B:$B,$A11,sales_logs!$C:$C,DATE($C$1,$E$1,AM$3),sales_logs!$D:$D,"휴무",sales_logs!$I:$I,FALSE)&gt;0,"휴무",IF(COUNTIFS(sales_logs!$B:$B,$A11,sales_logs!$C:$C,DATE($C$1,$E$1,AM$3),sales_logs!$I:$I,FALSE)=0,"미입력",SUMIFS(sales_logs!$E:$E,sales_logs!$B:$B,$A11,sales_logs!$C:$C,DATE($C$1,$E$1,AM$3),sales_logs!$D:$D,"영업",sales_logs!$I:$I,FALSE)))))))</f>
        <v/>
      </c>
      <c r="AN11">
        <f>IF($A11="","",IF(MONTH(DATE($C$1,$E$1,AN$3))&lt;&gt;$E$1,"---",IF(DATE($C$1,$E$1,AN$3)&gt;TODAY(),"",IF(COUNTIFS(sales_logs!$B:$B,$A11,sales_logs!$C:$C,DATE($C$1,$E$1,AN$3),sales_logs!$I:$I,TRUE)&gt;0,"중복확인",IF(COUNTIFS(sales_logs!$B:$B,$A11,sales_logs!$C:$C,DATE($C$1,$E$1,AN$3),sales_logs!$D:$D,"휴무",sales_logs!$I:$I,FALSE)&gt;0,"휴무",IF(COUNTIFS(sales_logs!$B:$B,$A11,sales_logs!$C:$C,DATE($C$1,$E$1,AN$3),sales_logs!$I:$I,FALSE)=0,"미입력",SUMIFS(sales_logs!$E:$E,sales_logs!$B:$B,$A11,sales_logs!$C:$C,DATE($C$1,$E$1,AN$3),sales_logs!$D:$D,"영업",sales_logs!$I:$I,FALSE)))))))</f>
        <v/>
      </c>
      <c r="AO11">
        <f>IF($A11="","",IF(MONTH(DATE($C$1,$E$1,AO$3))&lt;&gt;$E$1,"---",IF(DATE($C$1,$E$1,AO$3)&gt;TODAY(),"",IF(COUNTIFS(sales_logs!$B:$B,$A11,sales_logs!$C:$C,DATE($C$1,$E$1,AO$3),sales_logs!$I:$I,TRUE)&gt;0,"중복확인",IF(COUNTIFS(sales_logs!$B:$B,$A11,sales_logs!$C:$C,DATE($C$1,$E$1,AO$3),sales_logs!$D:$D,"휴무",sales_logs!$I:$I,FALSE)&gt;0,"휴무",IF(COUNTIFS(sales_logs!$B:$B,$A11,sales_logs!$C:$C,DATE($C$1,$E$1,AO$3),sales_logs!$I:$I,FALSE)=0,"미입력",SUMIFS(sales_logs!$E:$E,sales_logs!$B:$B,$A11,sales_logs!$C:$C,DATE($C$1,$E$1,AO$3),sales_logs!$D:$D,"영업",sales_logs!$I:$I,FALSE)))))))</f>
        <v/>
      </c>
    </row>
    <row r="12">
      <c r="A12">
        <f>IFERROR(INDEX(FILTER(stores!$A$2:$A,stores!$G$2:$G="active"),ROW()-3),"")</f>
        <v/>
      </c>
      <c r="B12">
        <f>IF($A12="","",VLOOKUP($A12,stores!$A:$B,2,0))</f>
        <v/>
      </c>
      <c r="C12">
        <f>IF($A12="","",VLOOKUP($A12,stores!$A:$C,3,0))</f>
        <v/>
      </c>
      <c r="D12">
        <f>IF($A12="","",IF(DATE($C$1,$E$1,1)&gt;TODAY(),0,IFERROR(COUNTUNIQUE(FILTER(sales_logs!$C$2:$C$1000,sales_logs!$B$2:$B$1000=$A12,sales_logs!$C$2:$C$1000&gt;=DATE($C$1,$E$1,1),sales_logs!$C$2:$C$1000&lt;=MIN(TODAY(),EOMONTH(DATE($C$1,$E$1,1),0)),sales_logs!$I$2:$I$1000=FALSE))/DAY(MIN(TODAY(),EOMONTH(DATE($C$1,$E$1,1),0))),0)))</f>
        <v/>
      </c>
      <c r="E12">
        <f>IF($A12="","",IF(DATE($C$1,$E$1,1)&gt;TODAY(),0,DAY(MIN(TODAY(),EOMONTH(DATE($C$1,$E$1,1),0)))-IFERROR(COUNTUNIQUE(FILTER(sales_logs!$C$2:$C$1000,sales_logs!$B$2:$B$1000=$A12,sales_logs!$C$2:$C$1000&gt;=DATE($C$1,$E$1,1),sales_logs!$C$2:$C$1000&lt;=MIN(TODAY(),EOMONTH(DATE($C$1,$E$1,1),0)),sales_logs!$I$2:$I$1000=FALSE)),0)))</f>
        <v/>
      </c>
      <c r="F12">
        <f>IF($A12="","",COUNTIFS(sales_logs!$B:$B,$A12,sales_logs!$C:$C,"&gt;="&amp;DATE($C$1,$E$1,1),sales_logs!$C:$C,"&lt;="&amp;EOMONTH(DATE($C$1,$E$1,1),0),sales_logs!$D:$D,"휴무",sales_logs!$I:$I,FALSE))</f>
        <v/>
      </c>
      <c r="G12">
        <f>IF($A12="","",COUNTIFS(sales_logs!$B:$B,$A12,sales_logs!$C:$C,"&gt;="&amp;DATE($C$1,$E$1,1),sales_logs!$C:$C,"&lt;="&amp;EOMONTH(DATE($C$1,$E$1,1),0),sales_logs!$D:$D,"영업",sales_logs!$I:$I,FALSE))</f>
        <v/>
      </c>
      <c r="H12">
        <f>IF($A12="","",SUMIFS(sales_logs!$E:$E,sales_logs!$B:$B,$A12,sales_logs!$C:$C,"&gt;="&amp;DATE($C$1,$E$1,1),sales_logs!$C:$C,"&lt;="&amp;EOMONTH(DATE($C$1,$E$1,1),0),sales_logs!$D:$D,"영업",sales_logs!$I:$I,FALSE))</f>
        <v/>
      </c>
      <c r="I12">
        <f>IF(OR($A12="",G12=0),"",H12/G12)</f>
        <v/>
      </c>
      <c r="J12">
        <f>IF($A12="","",LET(cur_end, MIN(TODAY(),EOMONTH(DATE($C$1,$E$1,1),0)),cmp_day, DAY(cur_end),prev_start, DATE($C$1,$E$1-1,1),prev_end, MIN(DATE($C$1,$E$1-1,cmp_day),EOMONTH(DATE($C$1,$E$1-1,1),0)),cur_sales, SUMIFS(sales_logs!$E:$E,sales_logs!$B:$B,$A12,sales_logs!$C:$C,"&gt;="&amp;DATE($C$1,$E$1,1),sales_logs!$C:$C,"&lt;="&amp;cur_end,sales_logs!$D:$D,"영업",sales_logs!$I:$I,FALSE),prev_sales, SUMIFS(sales_logs!$E:$E,sales_logs!$B:$B,$A12,sales_logs!$C:$C,"&gt;="&amp;prev_start,sales_logs!$C:$C,"&lt;="&amp;prev_end,sales_logs!$D:$D,"영업",sales_logs!$I:$I,FALSE),IF(prev_sales=0,"데이터부족",(cur_sales-prev_sales)/prev_sales)))</f>
        <v/>
      </c>
      <c r="K12">
        <f>IF($A12="","",IF(MONTH(DATE($C$1,$E$1,K$3))&lt;&gt;$E$1,"---",IF(DATE($C$1,$E$1,K$3)&gt;TODAY(),"",IF(COUNTIFS(sales_logs!$B:$B,$A12,sales_logs!$C:$C,DATE($C$1,$E$1,K$3),sales_logs!$I:$I,TRUE)&gt;0,"중복확인",IF(COUNTIFS(sales_logs!$B:$B,$A12,sales_logs!$C:$C,DATE($C$1,$E$1,K$3),sales_logs!$D:$D,"휴무",sales_logs!$I:$I,FALSE)&gt;0,"휴무",IF(COUNTIFS(sales_logs!$B:$B,$A12,sales_logs!$C:$C,DATE($C$1,$E$1,K$3),sales_logs!$I:$I,FALSE)=0,"미입력",SUMIFS(sales_logs!$E:$E,sales_logs!$B:$B,$A12,sales_logs!$C:$C,DATE($C$1,$E$1,K$3),sales_logs!$D:$D,"영업",sales_logs!$I:$I,FALSE)))))))</f>
        <v/>
      </c>
      <c r="L12">
        <f>IF($A12="","",IF(MONTH(DATE($C$1,$E$1,L$3))&lt;&gt;$E$1,"---",IF(DATE($C$1,$E$1,L$3)&gt;TODAY(),"",IF(COUNTIFS(sales_logs!$B:$B,$A12,sales_logs!$C:$C,DATE($C$1,$E$1,L$3),sales_logs!$I:$I,TRUE)&gt;0,"중복확인",IF(COUNTIFS(sales_logs!$B:$B,$A12,sales_logs!$C:$C,DATE($C$1,$E$1,L$3),sales_logs!$D:$D,"휴무",sales_logs!$I:$I,FALSE)&gt;0,"휴무",IF(COUNTIFS(sales_logs!$B:$B,$A12,sales_logs!$C:$C,DATE($C$1,$E$1,L$3),sales_logs!$I:$I,FALSE)=0,"미입력",SUMIFS(sales_logs!$E:$E,sales_logs!$B:$B,$A12,sales_logs!$C:$C,DATE($C$1,$E$1,L$3),sales_logs!$D:$D,"영업",sales_logs!$I:$I,FALSE)))))))</f>
        <v/>
      </c>
      <c r="M12">
        <f>IF($A12="","",IF(MONTH(DATE($C$1,$E$1,M$3))&lt;&gt;$E$1,"---",IF(DATE($C$1,$E$1,M$3)&gt;TODAY(),"",IF(COUNTIFS(sales_logs!$B:$B,$A12,sales_logs!$C:$C,DATE($C$1,$E$1,M$3),sales_logs!$I:$I,TRUE)&gt;0,"중복확인",IF(COUNTIFS(sales_logs!$B:$B,$A12,sales_logs!$C:$C,DATE($C$1,$E$1,M$3),sales_logs!$D:$D,"휴무",sales_logs!$I:$I,FALSE)&gt;0,"휴무",IF(COUNTIFS(sales_logs!$B:$B,$A12,sales_logs!$C:$C,DATE($C$1,$E$1,M$3),sales_logs!$I:$I,FALSE)=0,"미입력",SUMIFS(sales_logs!$E:$E,sales_logs!$B:$B,$A12,sales_logs!$C:$C,DATE($C$1,$E$1,M$3),sales_logs!$D:$D,"영업",sales_logs!$I:$I,FALSE)))))))</f>
        <v/>
      </c>
      <c r="N12">
        <f>IF($A12="","",IF(MONTH(DATE($C$1,$E$1,N$3))&lt;&gt;$E$1,"---",IF(DATE($C$1,$E$1,N$3)&gt;TODAY(),"",IF(COUNTIFS(sales_logs!$B:$B,$A12,sales_logs!$C:$C,DATE($C$1,$E$1,N$3),sales_logs!$I:$I,TRUE)&gt;0,"중복확인",IF(COUNTIFS(sales_logs!$B:$B,$A12,sales_logs!$C:$C,DATE($C$1,$E$1,N$3),sales_logs!$D:$D,"휴무",sales_logs!$I:$I,FALSE)&gt;0,"휴무",IF(COUNTIFS(sales_logs!$B:$B,$A12,sales_logs!$C:$C,DATE($C$1,$E$1,N$3),sales_logs!$I:$I,FALSE)=0,"미입력",SUMIFS(sales_logs!$E:$E,sales_logs!$B:$B,$A12,sales_logs!$C:$C,DATE($C$1,$E$1,N$3),sales_logs!$D:$D,"영업",sales_logs!$I:$I,FALSE)))))))</f>
        <v/>
      </c>
      <c r="O12">
        <f>IF($A12="","",IF(MONTH(DATE($C$1,$E$1,O$3))&lt;&gt;$E$1,"---",IF(DATE($C$1,$E$1,O$3)&gt;TODAY(),"",IF(COUNTIFS(sales_logs!$B:$B,$A12,sales_logs!$C:$C,DATE($C$1,$E$1,O$3),sales_logs!$I:$I,TRUE)&gt;0,"중복확인",IF(COUNTIFS(sales_logs!$B:$B,$A12,sales_logs!$C:$C,DATE($C$1,$E$1,O$3),sales_logs!$D:$D,"휴무",sales_logs!$I:$I,FALSE)&gt;0,"휴무",IF(COUNTIFS(sales_logs!$B:$B,$A12,sales_logs!$C:$C,DATE($C$1,$E$1,O$3),sales_logs!$I:$I,FALSE)=0,"미입력",SUMIFS(sales_logs!$E:$E,sales_logs!$B:$B,$A12,sales_logs!$C:$C,DATE($C$1,$E$1,O$3),sales_logs!$D:$D,"영업",sales_logs!$I:$I,FALSE)))))))</f>
        <v/>
      </c>
      <c r="P12">
        <f>IF($A12="","",IF(MONTH(DATE($C$1,$E$1,P$3))&lt;&gt;$E$1,"---",IF(DATE($C$1,$E$1,P$3)&gt;TODAY(),"",IF(COUNTIFS(sales_logs!$B:$B,$A12,sales_logs!$C:$C,DATE($C$1,$E$1,P$3),sales_logs!$I:$I,TRUE)&gt;0,"중복확인",IF(COUNTIFS(sales_logs!$B:$B,$A12,sales_logs!$C:$C,DATE($C$1,$E$1,P$3),sales_logs!$D:$D,"휴무",sales_logs!$I:$I,FALSE)&gt;0,"휴무",IF(COUNTIFS(sales_logs!$B:$B,$A12,sales_logs!$C:$C,DATE($C$1,$E$1,P$3),sales_logs!$I:$I,FALSE)=0,"미입력",SUMIFS(sales_logs!$E:$E,sales_logs!$B:$B,$A12,sales_logs!$C:$C,DATE($C$1,$E$1,P$3),sales_logs!$D:$D,"영업",sales_logs!$I:$I,FALSE)))))))</f>
        <v/>
      </c>
      <c r="Q12">
        <f>IF($A12="","",IF(MONTH(DATE($C$1,$E$1,Q$3))&lt;&gt;$E$1,"---",IF(DATE($C$1,$E$1,Q$3)&gt;TODAY(),"",IF(COUNTIFS(sales_logs!$B:$B,$A12,sales_logs!$C:$C,DATE($C$1,$E$1,Q$3),sales_logs!$I:$I,TRUE)&gt;0,"중복확인",IF(COUNTIFS(sales_logs!$B:$B,$A12,sales_logs!$C:$C,DATE($C$1,$E$1,Q$3),sales_logs!$D:$D,"휴무",sales_logs!$I:$I,FALSE)&gt;0,"휴무",IF(COUNTIFS(sales_logs!$B:$B,$A12,sales_logs!$C:$C,DATE($C$1,$E$1,Q$3),sales_logs!$I:$I,FALSE)=0,"미입력",SUMIFS(sales_logs!$E:$E,sales_logs!$B:$B,$A12,sales_logs!$C:$C,DATE($C$1,$E$1,Q$3),sales_logs!$D:$D,"영업",sales_logs!$I:$I,FALSE)))))))</f>
        <v/>
      </c>
      <c r="R12">
        <f>IF($A12="","",IF(MONTH(DATE($C$1,$E$1,R$3))&lt;&gt;$E$1,"---",IF(DATE($C$1,$E$1,R$3)&gt;TODAY(),"",IF(COUNTIFS(sales_logs!$B:$B,$A12,sales_logs!$C:$C,DATE($C$1,$E$1,R$3),sales_logs!$I:$I,TRUE)&gt;0,"중복확인",IF(COUNTIFS(sales_logs!$B:$B,$A12,sales_logs!$C:$C,DATE($C$1,$E$1,R$3),sales_logs!$D:$D,"휴무",sales_logs!$I:$I,FALSE)&gt;0,"휴무",IF(COUNTIFS(sales_logs!$B:$B,$A12,sales_logs!$C:$C,DATE($C$1,$E$1,R$3),sales_logs!$I:$I,FALSE)=0,"미입력",SUMIFS(sales_logs!$E:$E,sales_logs!$B:$B,$A12,sales_logs!$C:$C,DATE($C$1,$E$1,R$3),sales_logs!$D:$D,"영업",sales_logs!$I:$I,FALSE)))))))</f>
        <v/>
      </c>
      <c r="S12">
        <f>IF($A12="","",IF(MONTH(DATE($C$1,$E$1,S$3))&lt;&gt;$E$1,"---",IF(DATE($C$1,$E$1,S$3)&gt;TODAY(),"",IF(COUNTIFS(sales_logs!$B:$B,$A12,sales_logs!$C:$C,DATE($C$1,$E$1,S$3),sales_logs!$I:$I,TRUE)&gt;0,"중복확인",IF(COUNTIFS(sales_logs!$B:$B,$A12,sales_logs!$C:$C,DATE($C$1,$E$1,S$3),sales_logs!$D:$D,"휴무",sales_logs!$I:$I,FALSE)&gt;0,"휴무",IF(COUNTIFS(sales_logs!$B:$B,$A12,sales_logs!$C:$C,DATE($C$1,$E$1,S$3),sales_logs!$I:$I,FALSE)=0,"미입력",SUMIFS(sales_logs!$E:$E,sales_logs!$B:$B,$A12,sales_logs!$C:$C,DATE($C$1,$E$1,S$3),sales_logs!$D:$D,"영업",sales_logs!$I:$I,FALSE)))))))</f>
        <v/>
      </c>
      <c r="T12">
        <f>IF($A12="","",IF(MONTH(DATE($C$1,$E$1,T$3))&lt;&gt;$E$1,"---",IF(DATE($C$1,$E$1,T$3)&gt;TODAY(),"",IF(COUNTIFS(sales_logs!$B:$B,$A12,sales_logs!$C:$C,DATE($C$1,$E$1,T$3),sales_logs!$I:$I,TRUE)&gt;0,"중복확인",IF(COUNTIFS(sales_logs!$B:$B,$A12,sales_logs!$C:$C,DATE($C$1,$E$1,T$3),sales_logs!$D:$D,"휴무",sales_logs!$I:$I,FALSE)&gt;0,"휴무",IF(COUNTIFS(sales_logs!$B:$B,$A12,sales_logs!$C:$C,DATE($C$1,$E$1,T$3),sales_logs!$I:$I,FALSE)=0,"미입력",SUMIFS(sales_logs!$E:$E,sales_logs!$B:$B,$A12,sales_logs!$C:$C,DATE($C$1,$E$1,T$3),sales_logs!$D:$D,"영업",sales_logs!$I:$I,FALSE)))))))</f>
        <v/>
      </c>
      <c r="U12">
        <f>IF($A12="","",IF(MONTH(DATE($C$1,$E$1,U$3))&lt;&gt;$E$1,"---",IF(DATE($C$1,$E$1,U$3)&gt;TODAY(),"",IF(COUNTIFS(sales_logs!$B:$B,$A12,sales_logs!$C:$C,DATE($C$1,$E$1,U$3),sales_logs!$I:$I,TRUE)&gt;0,"중복확인",IF(COUNTIFS(sales_logs!$B:$B,$A12,sales_logs!$C:$C,DATE($C$1,$E$1,U$3),sales_logs!$D:$D,"휴무",sales_logs!$I:$I,FALSE)&gt;0,"휴무",IF(COUNTIFS(sales_logs!$B:$B,$A12,sales_logs!$C:$C,DATE($C$1,$E$1,U$3),sales_logs!$I:$I,FALSE)=0,"미입력",SUMIFS(sales_logs!$E:$E,sales_logs!$B:$B,$A12,sales_logs!$C:$C,DATE($C$1,$E$1,U$3),sales_logs!$D:$D,"영업",sales_logs!$I:$I,FALSE)))))))</f>
        <v/>
      </c>
      <c r="V12">
        <f>IF($A12="","",IF(MONTH(DATE($C$1,$E$1,V$3))&lt;&gt;$E$1,"---",IF(DATE($C$1,$E$1,V$3)&gt;TODAY(),"",IF(COUNTIFS(sales_logs!$B:$B,$A12,sales_logs!$C:$C,DATE($C$1,$E$1,V$3),sales_logs!$I:$I,TRUE)&gt;0,"중복확인",IF(COUNTIFS(sales_logs!$B:$B,$A12,sales_logs!$C:$C,DATE($C$1,$E$1,V$3),sales_logs!$D:$D,"휴무",sales_logs!$I:$I,FALSE)&gt;0,"휴무",IF(COUNTIFS(sales_logs!$B:$B,$A12,sales_logs!$C:$C,DATE($C$1,$E$1,V$3),sales_logs!$I:$I,FALSE)=0,"미입력",SUMIFS(sales_logs!$E:$E,sales_logs!$B:$B,$A12,sales_logs!$C:$C,DATE($C$1,$E$1,V$3),sales_logs!$D:$D,"영업",sales_logs!$I:$I,FALSE)))))))</f>
        <v/>
      </c>
      <c r="W12">
        <f>IF($A12="","",IF(MONTH(DATE($C$1,$E$1,W$3))&lt;&gt;$E$1,"---",IF(DATE($C$1,$E$1,W$3)&gt;TODAY(),"",IF(COUNTIFS(sales_logs!$B:$B,$A12,sales_logs!$C:$C,DATE($C$1,$E$1,W$3),sales_logs!$I:$I,TRUE)&gt;0,"중복확인",IF(COUNTIFS(sales_logs!$B:$B,$A12,sales_logs!$C:$C,DATE($C$1,$E$1,W$3),sales_logs!$D:$D,"휴무",sales_logs!$I:$I,FALSE)&gt;0,"휴무",IF(COUNTIFS(sales_logs!$B:$B,$A12,sales_logs!$C:$C,DATE($C$1,$E$1,W$3),sales_logs!$I:$I,FALSE)=0,"미입력",SUMIFS(sales_logs!$E:$E,sales_logs!$B:$B,$A12,sales_logs!$C:$C,DATE($C$1,$E$1,W$3),sales_logs!$D:$D,"영업",sales_logs!$I:$I,FALSE)))))))</f>
        <v/>
      </c>
      <c r="X12">
        <f>IF($A12="","",IF(MONTH(DATE($C$1,$E$1,X$3))&lt;&gt;$E$1,"---",IF(DATE($C$1,$E$1,X$3)&gt;TODAY(),"",IF(COUNTIFS(sales_logs!$B:$B,$A12,sales_logs!$C:$C,DATE($C$1,$E$1,X$3),sales_logs!$I:$I,TRUE)&gt;0,"중복확인",IF(COUNTIFS(sales_logs!$B:$B,$A12,sales_logs!$C:$C,DATE($C$1,$E$1,X$3),sales_logs!$D:$D,"휴무",sales_logs!$I:$I,FALSE)&gt;0,"휴무",IF(COUNTIFS(sales_logs!$B:$B,$A12,sales_logs!$C:$C,DATE($C$1,$E$1,X$3),sales_logs!$I:$I,FALSE)=0,"미입력",SUMIFS(sales_logs!$E:$E,sales_logs!$B:$B,$A12,sales_logs!$C:$C,DATE($C$1,$E$1,X$3),sales_logs!$D:$D,"영업",sales_logs!$I:$I,FALSE)))))))</f>
        <v/>
      </c>
      <c r="Y12">
        <f>IF($A12="","",IF(MONTH(DATE($C$1,$E$1,Y$3))&lt;&gt;$E$1,"---",IF(DATE($C$1,$E$1,Y$3)&gt;TODAY(),"",IF(COUNTIFS(sales_logs!$B:$B,$A12,sales_logs!$C:$C,DATE($C$1,$E$1,Y$3),sales_logs!$I:$I,TRUE)&gt;0,"중복확인",IF(COUNTIFS(sales_logs!$B:$B,$A12,sales_logs!$C:$C,DATE($C$1,$E$1,Y$3),sales_logs!$D:$D,"휴무",sales_logs!$I:$I,FALSE)&gt;0,"휴무",IF(COUNTIFS(sales_logs!$B:$B,$A12,sales_logs!$C:$C,DATE($C$1,$E$1,Y$3),sales_logs!$I:$I,FALSE)=0,"미입력",SUMIFS(sales_logs!$E:$E,sales_logs!$B:$B,$A12,sales_logs!$C:$C,DATE($C$1,$E$1,Y$3),sales_logs!$D:$D,"영업",sales_logs!$I:$I,FALSE)))))))</f>
        <v/>
      </c>
      <c r="Z12">
        <f>IF($A12="","",IF(MONTH(DATE($C$1,$E$1,Z$3))&lt;&gt;$E$1,"---",IF(DATE($C$1,$E$1,Z$3)&gt;TODAY(),"",IF(COUNTIFS(sales_logs!$B:$B,$A12,sales_logs!$C:$C,DATE($C$1,$E$1,Z$3),sales_logs!$I:$I,TRUE)&gt;0,"중복확인",IF(COUNTIFS(sales_logs!$B:$B,$A12,sales_logs!$C:$C,DATE($C$1,$E$1,Z$3),sales_logs!$D:$D,"휴무",sales_logs!$I:$I,FALSE)&gt;0,"휴무",IF(COUNTIFS(sales_logs!$B:$B,$A12,sales_logs!$C:$C,DATE($C$1,$E$1,Z$3),sales_logs!$I:$I,FALSE)=0,"미입력",SUMIFS(sales_logs!$E:$E,sales_logs!$B:$B,$A12,sales_logs!$C:$C,DATE($C$1,$E$1,Z$3),sales_logs!$D:$D,"영업",sales_logs!$I:$I,FALSE)))))))</f>
        <v/>
      </c>
      <c r="AA12">
        <f>IF($A12="","",IF(MONTH(DATE($C$1,$E$1,AA$3))&lt;&gt;$E$1,"---",IF(DATE($C$1,$E$1,AA$3)&gt;TODAY(),"",IF(COUNTIFS(sales_logs!$B:$B,$A12,sales_logs!$C:$C,DATE($C$1,$E$1,AA$3),sales_logs!$I:$I,TRUE)&gt;0,"중복확인",IF(COUNTIFS(sales_logs!$B:$B,$A12,sales_logs!$C:$C,DATE($C$1,$E$1,AA$3),sales_logs!$D:$D,"휴무",sales_logs!$I:$I,FALSE)&gt;0,"휴무",IF(COUNTIFS(sales_logs!$B:$B,$A12,sales_logs!$C:$C,DATE($C$1,$E$1,AA$3),sales_logs!$I:$I,FALSE)=0,"미입력",SUMIFS(sales_logs!$E:$E,sales_logs!$B:$B,$A12,sales_logs!$C:$C,DATE($C$1,$E$1,AA$3),sales_logs!$D:$D,"영업",sales_logs!$I:$I,FALSE)))))))</f>
        <v/>
      </c>
      <c r="AB12">
        <f>IF($A12="","",IF(MONTH(DATE($C$1,$E$1,AB$3))&lt;&gt;$E$1,"---",IF(DATE($C$1,$E$1,AB$3)&gt;TODAY(),"",IF(COUNTIFS(sales_logs!$B:$B,$A12,sales_logs!$C:$C,DATE($C$1,$E$1,AB$3),sales_logs!$I:$I,TRUE)&gt;0,"중복확인",IF(COUNTIFS(sales_logs!$B:$B,$A12,sales_logs!$C:$C,DATE($C$1,$E$1,AB$3),sales_logs!$D:$D,"휴무",sales_logs!$I:$I,FALSE)&gt;0,"휴무",IF(COUNTIFS(sales_logs!$B:$B,$A12,sales_logs!$C:$C,DATE($C$1,$E$1,AB$3),sales_logs!$I:$I,FALSE)=0,"미입력",SUMIFS(sales_logs!$E:$E,sales_logs!$B:$B,$A12,sales_logs!$C:$C,DATE($C$1,$E$1,AB$3),sales_logs!$D:$D,"영업",sales_logs!$I:$I,FALSE)))))))</f>
        <v/>
      </c>
      <c r="AC12">
        <f>IF($A12="","",IF(MONTH(DATE($C$1,$E$1,AC$3))&lt;&gt;$E$1,"---",IF(DATE($C$1,$E$1,AC$3)&gt;TODAY(),"",IF(COUNTIFS(sales_logs!$B:$B,$A12,sales_logs!$C:$C,DATE($C$1,$E$1,AC$3),sales_logs!$I:$I,TRUE)&gt;0,"중복확인",IF(COUNTIFS(sales_logs!$B:$B,$A12,sales_logs!$C:$C,DATE($C$1,$E$1,AC$3),sales_logs!$D:$D,"휴무",sales_logs!$I:$I,FALSE)&gt;0,"휴무",IF(COUNTIFS(sales_logs!$B:$B,$A12,sales_logs!$C:$C,DATE($C$1,$E$1,AC$3),sales_logs!$I:$I,FALSE)=0,"미입력",SUMIFS(sales_logs!$E:$E,sales_logs!$B:$B,$A12,sales_logs!$C:$C,DATE($C$1,$E$1,AC$3),sales_logs!$D:$D,"영업",sales_logs!$I:$I,FALSE)))))))</f>
        <v/>
      </c>
      <c r="AD12">
        <f>IF($A12="","",IF(MONTH(DATE($C$1,$E$1,AD$3))&lt;&gt;$E$1,"---",IF(DATE($C$1,$E$1,AD$3)&gt;TODAY(),"",IF(COUNTIFS(sales_logs!$B:$B,$A12,sales_logs!$C:$C,DATE($C$1,$E$1,AD$3),sales_logs!$I:$I,TRUE)&gt;0,"중복확인",IF(COUNTIFS(sales_logs!$B:$B,$A12,sales_logs!$C:$C,DATE($C$1,$E$1,AD$3),sales_logs!$D:$D,"휴무",sales_logs!$I:$I,FALSE)&gt;0,"휴무",IF(COUNTIFS(sales_logs!$B:$B,$A12,sales_logs!$C:$C,DATE($C$1,$E$1,AD$3),sales_logs!$I:$I,FALSE)=0,"미입력",SUMIFS(sales_logs!$E:$E,sales_logs!$B:$B,$A12,sales_logs!$C:$C,DATE($C$1,$E$1,AD$3),sales_logs!$D:$D,"영업",sales_logs!$I:$I,FALSE)))))))</f>
        <v/>
      </c>
      <c r="AE12">
        <f>IF($A12="","",IF(MONTH(DATE($C$1,$E$1,AE$3))&lt;&gt;$E$1,"---",IF(DATE($C$1,$E$1,AE$3)&gt;TODAY(),"",IF(COUNTIFS(sales_logs!$B:$B,$A12,sales_logs!$C:$C,DATE($C$1,$E$1,AE$3),sales_logs!$I:$I,TRUE)&gt;0,"중복확인",IF(COUNTIFS(sales_logs!$B:$B,$A12,sales_logs!$C:$C,DATE($C$1,$E$1,AE$3),sales_logs!$D:$D,"휴무",sales_logs!$I:$I,FALSE)&gt;0,"휴무",IF(COUNTIFS(sales_logs!$B:$B,$A12,sales_logs!$C:$C,DATE($C$1,$E$1,AE$3),sales_logs!$I:$I,FALSE)=0,"미입력",SUMIFS(sales_logs!$E:$E,sales_logs!$B:$B,$A12,sales_logs!$C:$C,DATE($C$1,$E$1,AE$3),sales_logs!$D:$D,"영업",sales_logs!$I:$I,FALSE)))))))</f>
        <v/>
      </c>
      <c r="AF12">
        <f>IF($A12="","",IF(MONTH(DATE($C$1,$E$1,AF$3))&lt;&gt;$E$1,"---",IF(DATE($C$1,$E$1,AF$3)&gt;TODAY(),"",IF(COUNTIFS(sales_logs!$B:$B,$A12,sales_logs!$C:$C,DATE($C$1,$E$1,AF$3),sales_logs!$I:$I,TRUE)&gt;0,"중복확인",IF(COUNTIFS(sales_logs!$B:$B,$A12,sales_logs!$C:$C,DATE($C$1,$E$1,AF$3),sales_logs!$D:$D,"휴무",sales_logs!$I:$I,FALSE)&gt;0,"휴무",IF(COUNTIFS(sales_logs!$B:$B,$A12,sales_logs!$C:$C,DATE($C$1,$E$1,AF$3),sales_logs!$I:$I,FALSE)=0,"미입력",SUMIFS(sales_logs!$E:$E,sales_logs!$B:$B,$A12,sales_logs!$C:$C,DATE($C$1,$E$1,AF$3),sales_logs!$D:$D,"영업",sales_logs!$I:$I,FALSE)))))))</f>
        <v/>
      </c>
      <c r="AG12">
        <f>IF($A12="","",IF(MONTH(DATE($C$1,$E$1,AG$3))&lt;&gt;$E$1,"---",IF(DATE($C$1,$E$1,AG$3)&gt;TODAY(),"",IF(COUNTIFS(sales_logs!$B:$B,$A12,sales_logs!$C:$C,DATE($C$1,$E$1,AG$3),sales_logs!$I:$I,TRUE)&gt;0,"중복확인",IF(COUNTIFS(sales_logs!$B:$B,$A12,sales_logs!$C:$C,DATE($C$1,$E$1,AG$3),sales_logs!$D:$D,"휴무",sales_logs!$I:$I,FALSE)&gt;0,"휴무",IF(COUNTIFS(sales_logs!$B:$B,$A12,sales_logs!$C:$C,DATE($C$1,$E$1,AG$3),sales_logs!$I:$I,FALSE)=0,"미입력",SUMIFS(sales_logs!$E:$E,sales_logs!$B:$B,$A12,sales_logs!$C:$C,DATE($C$1,$E$1,AG$3),sales_logs!$D:$D,"영업",sales_logs!$I:$I,FALSE)))))))</f>
        <v/>
      </c>
      <c r="AH12">
        <f>IF($A12="","",IF(MONTH(DATE($C$1,$E$1,AH$3))&lt;&gt;$E$1,"---",IF(DATE($C$1,$E$1,AH$3)&gt;TODAY(),"",IF(COUNTIFS(sales_logs!$B:$B,$A12,sales_logs!$C:$C,DATE($C$1,$E$1,AH$3),sales_logs!$I:$I,TRUE)&gt;0,"중복확인",IF(COUNTIFS(sales_logs!$B:$B,$A12,sales_logs!$C:$C,DATE($C$1,$E$1,AH$3),sales_logs!$D:$D,"휴무",sales_logs!$I:$I,FALSE)&gt;0,"휴무",IF(COUNTIFS(sales_logs!$B:$B,$A12,sales_logs!$C:$C,DATE($C$1,$E$1,AH$3),sales_logs!$I:$I,FALSE)=0,"미입력",SUMIFS(sales_logs!$E:$E,sales_logs!$B:$B,$A12,sales_logs!$C:$C,DATE($C$1,$E$1,AH$3),sales_logs!$D:$D,"영업",sales_logs!$I:$I,FALSE)))))))</f>
        <v/>
      </c>
      <c r="AI12">
        <f>IF($A12="","",IF(MONTH(DATE($C$1,$E$1,AI$3))&lt;&gt;$E$1,"---",IF(DATE($C$1,$E$1,AI$3)&gt;TODAY(),"",IF(COUNTIFS(sales_logs!$B:$B,$A12,sales_logs!$C:$C,DATE($C$1,$E$1,AI$3),sales_logs!$I:$I,TRUE)&gt;0,"중복확인",IF(COUNTIFS(sales_logs!$B:$B,$A12,sales_logs!$C:$C,DATE($C$1,$E$1,AI$3),sales_logs!$D:$D,"휴무",sales_logs!$I:$I,FALSE)&gt;0,"휴무",IF(COUNTIFS(sales_logs!$B:$B,$A12,sales_logs!$C:$C,DATE($C$1,$E$1,AI$3),sales_logs!$I:$I,FALSE)=0,"미입력",SUMIFS(sales_logs!$E:$E,sales_logs!$B:$B,$A12,sales_logs!$C:$C,DATE($C$1,$E$1,AI$3),sales_logs!$D:$D,"영업",sales_logs!$I:$I,FALSE)))))))</f>
        <v/>
      </c>
      <c r="AJ12">
        <f>IF($A12="","",IF(MONTH(DATE($C$1,$E$1,AJ$3))&lt;&gt;$E$1,"---",IF(DATE($C$1,$E$1,AJ$3)&gt;TODAY(),"",IF(COUNTIFS(sales_logs!$B:$B,$A12,sales_logs!$C:$C,DATE($C$1,$E$1,AJ$3),sales_logs!$I:$I,TRUE)&gt;0,"중복확인",IF(COUNTIFS(sales_logs!$B:$B,$A12,sales_logs!$C:$C,DATE($C$1,$E$1,AJ$3),sales_logs!$D:$D,"휴무",sales_logs!$I:$I,FALSE)&gt;0,"휴무",IF(COUNTIFS(sales_logs!$B:$B,$A12,sales_logs!$C:$C,DATE($C$1,$E$1,AJ$3),sales_logs!$I:$I,FALSE)=0,"미입력",SUMIFS(sales_logs!$E:$E,sales_logs!$B:$B,$A12,sales_logs!$C:$C,DATE($C$1,$E$1,AJ$3),sales_logs!$D:$D,"영업",sales_logs!$I:$I,FALSE)))))))</f>
        <v/>
      </c>
      <c r="AK12">
        <f>IF($A12="","",IF(MONTH(DATE($C$1,$E$1,AK$3))&lt;&gt;$E$1,"---",IF(DATE($C$1,$E$1,AK$3)&gt;TODAY(),"",IF(COUNTIFS(sales_logs!$B:$B,$A12,sales_logs!$C:$C,DATE($C$1,$E$1,AK$3),sales_logs!$I:$I,TRUE)&gt;0,"중복확인",IF(COUNTIFS(sales_logs!$B:$B,$A12,sales_logs!$C:$C,DATE($C$1,$E$1,AK$3),sales_logs!$D:$D,"휴무",sales_logs!$I:$I,FALSE)&gt;0,"휴무",IF(COUNTIFS(sales_logs!$B:$B,$A12,sales_logs!$C:$C,DATE($C$1,$E$1,AK$3),sales_logs!$I:$I,FALSE)=0,"미입력",SUMIFS(sales_logs!$E:$E,sales_logs!$B:$B,$A12,sales_logs!$C:$C,DATE($C$1,$E$1,AK$3),sales_logs!$D:$D,"영업",sales_logs!$I:$I,FALSE)))))))</f>
        <v/>
      </c>
      <c r="AL12">
        <f>IF($A12="","",IF(MONTH(DATE($C$1,$E$1,AL$3))&lt;&gt;$E$1,"---",IF(DATE($C$1,$E$1,AL$3)&gt;TODAY(),"",IF(COUNTIFS(sales_logs!$B:$B,$A12,sales_logs!$C:$C,DATE($C$1,$E$1,AL$3),sales_logs!$I:$I,TRUE)&gt;0,"중복확인",IF(COUNTIFS(sales_logs!$B:$B,$A12,sales_logs!$C:$C,DATE($C$1,$E$1,AL$3),sales_logs!$D:$D,"휴무",sales_logs!$I:$I,FALSE)&gt;0,"휴무",IF(COUNTIFS(sales_logs!$B:$B,$A12,sales_logs!$C:$C,DATE($C$1,$E$1,AL$3),sales_logs!$I:$I,FALSE)=0,"미입력",SUMIFS(sales_logs!$E:$E,sales_logs!$B:$B,$A12,sales_logs!$C:$C,DATE($C$1,$E$1,AL$3),sales_logs!$D:$D,"영업",sales_logs!$I:$I,FALSE)))))))</f>
        <v/>
      </c>
      <c r="AM12">
        <f>IF($A12="","",IF(MONTH(DATE($C$1,$E$1,AM$3))&lt;&gt;$E$1,"---",IF(DATE($C$1,$E$1,AM$3)&gt;TODAY(),"",IF(COUNTIFS(sales_logs!$B:$B,$A12,sales_logs!$C:$C,DATE($C$1,$E$1,AM$3),sales_logs!$I:$I,TRUE)&gt;0,"중복확인",IF(COUNTIFS(sales_logs!$B:$B,$A12,sales_logs!$C:$C,DATE($C$1,$E$1,AM$3),sales_logs!$D:$D,"휴무",sales_logs!$I:$I,FALSE)&gt;0,"휴무",IF(COUNTIFS(sales_logs!$B:$B,$A12,sales_logs!$C:$C,DATE($C$1,$E$1,AM$3),sales_logs!$I:$I,FALSE)=0,"미입력",SUMIFS(sales_logs!$E:$E,sales_logs!$B:$B,$A12,sales_logs!$C:$C,DATE($C$1,$E$1,AM$3),sales_logs!$D:$D,"영업",sales_logs!$I:$I,FALSE)))))))</f>
        <v/>
      </c>
      <c r="AN12">
        <f>IF($A12="","",IF(MONTH(DATE($C$1,$E$1,AN$3))&lt;&gt;$E$1,"---",IF(DATE($C$1,$E$1,AN$3)&gt;TODAY(),"",IF(COUNTIFS(sales_logs!$B:$B,$A12,sales_logs!$C:$C,DATE($C$1,$E$1,AN$3),sales_logs!$I:$I,TRUE)&gt;0,"중복확인",IF(COUNTIFS(sales_logs!$B:$B,$A12,sales_logs!$C:$C,DATE($C$1,$E$1,AN$3),sales_logs!$D:$D,"휴무",sales_logs!$I:$I,FALSE)&gt;0,"휴무",IF(COUNTIFS(sales_logs!$B:$B,$A12,sales_logs!$C:$C,DATE($C$1,$E$1,AN$3),sales_logs!$I:$I,FALSE)=0,"미입력",SUMIFS(sales_logs!$E:$E,sales_logs!$B:$B,$A12,sales_logs!$C:$C,DATE($C$1,$E$1,AN$3),sales_logs!$D:$D,"영업",sales_logs!$I:$I,FALSE)))))))</f>
        <v/>
      </c>
      <c r="AO12">
        <f>IF($A12="","",IF(MONTH(DATE($C$1,$E$1,AO$3))&lt;&gt;$E$1,"---",IF(DATE($C$1,$E$1,AO$3)&gt;TODAY(),"",IF(COUNTIFS(sales_logs!$B:$B,$A12,sales_logs!$C:$C,DATE($C$1,$E$1,AO$3),sales_logs!$I:$I,TRUE)&gt;0,"중복확인",IF(COUNTIFS(sales_logs!$B:$B,$A12,sales_logs!$C:$C,DATE($C$1,$E$1,AO$3),sales_logs!$D:$D,"휴무",sales_logs!$I:$I,FALSE)&gt;0,"휴무",IF(COUNTIFS(sales_logs!$B:$B,$A12,sales_logs!$C:$C,DATE($C$1,$E$1,AO$3),sales_logs!$I:$I,FALSE)=0,"미입력",SUMIFS(sales_logs!$E:$E,sales_logs!$B:$B,$A12,sales_logs!$C:$C,DATE($C$1,$E$1,AO$3),sales_logs!$D:$D,"영업",sales_logs!$I:$I,FALSE)))))))</f>
        <v/>
      </c>
    </row>
    <row r="13">
      <c r="A13">
        <f>IFERROR(INDEX(FILTER(stores!$A$2:$A,stores!$G$2:$G="active"),ROW()-3),"")</f>
        <v/>
      </c>
      <c r="B13">
        <f>IF($A13="","",VLOOKUP($A13,stores!$A:$B,2,0))</f>
        <v/>
      </c>
      <c r="C13">
        <f>IF($A13="","",VLOOKUP($A13,stores!$A:$C,3,0))</f>
        <v/>
      </c>
      <c r="D13">
        <f>IF($A13="","",IF(DATE($C$1,$E$1,1)&gt;TODAY(),0,IFERROR(COUNTUNIQUE(FILTER(sales_logs!$C$2:$C$1000,sales_logs!$B$2:$B$1000=$A13,sales_logs!$C$2:$C$1000&gt;=DATE($C$1,$E$1,1),sales_logs!$C$2:$C$1000&lt;=MIN(TODAY(),EOMONTH(DATE($C$1,$E$1,1),0)),sales_logs!$I$2:$I$1000=FALSE))/DAY(MIN(TODAY(),EOMONTH(DATE($C$1,$E$1,1),0))),0)))</f>
        <v/>
      </c>
      <c r="E13">
        <f>IF($A13="","",IF(DATE($C$1,$E$1,1)&gt;TODAY(),0,DAY(MIN(TODAY(),EOMONTH(DATE($C$1,$E$1,1),0)))-IFERROR(COUNTUNIQUE(FILTER(sales_logs!$C$2:$C$1000,sales_logs!$B$2:$B$1000=$A13,sales_logs!$C$2:$C$1000&gt;=DATE($C$1,$E$1,1),sales_logs!$C$2:$C$1000&lt;=MIN(TODAY(),EOMONTH(DATE($C$1,$E$1,1),0)),sales_logs!$I$2:$I$1000=FALSE)),0)))</f>
        <v/>
      </c>
      <c r="F13">
        <f>IF($A13="","",COUNTIFS(sales_logs!$B:$B,$A13,sales_logs!$C:$C,"&gt;="&amp;DATE($C$1,$E$1,1),sales_logs!$C:$C,"&lt;="&amp;EOMONTH(DATE($C$1,$E$1,1),0),sales_logs!$D:$D,"휴무",sales_logs!$I:$I,FALSE))</f>
        <v/>
      </c>
      <c r="G13">
        <f>IF($A13="","",COUNTIFS(sales_logs!$B:$B,$A13,sales_logs!$C:$C,"&gt;="&amp;DATE($C$1,$E$1,1),sales_logs!$C:$C,"&lt;="&amp;EOMONTH(DATE($C$1,$E$1,1),0),sales_logs!$D:$D,"영업",sales_logs!$I:$I,FALSE))</f>
        <v/>
      </c>
      <c r="H13">
        <f>IF($A13="","",SUMIFS(sales_logs!$E:$E,sales_logs!$B:$B,$A13,sales_logs!$C:$C,"&gt;="&amp;DATE($C$1,$E$1,1),sales_logs!$C:$C,"&lt;="&amp;EOMONTH(DATE($C$1,$E$1,1),0),sales_logs!$D:$D,"영업",sales_logs!$I:$I,FALSE))</f>
        <v/>
      </c>
      <c r="I13">
        <f>IF(OR($A13="",G13=0),"",H13/G13)</f>
        <v/>
      </c>
      <c r="J13">
        <f>IF($A13="","",LET(cur_end, MIN(TODAY(),EOMONTH(DATE($C$1,$E$1,1),0)),cmp_day, DAY(cur_end),prev_start, DATE($C$1,$E$1-1,1),prev_end, MIN(DATE($C$1,$E$1-1,cmp_day),EOMONTH(DATE($C$1,$E$1-1,1),0)),cur_sales, SUMIFS(sales_logs!$E:$E,sales_logs!$B:$B,$A13,sales_logs!$C:$C,"&gt;="&amp;DATE($C$1,$E$1,1),sales_logs!$C:$C,"&lt;="&amp;cur_end,sales_logs!$D:$D,"영업",sales_logs!$I:$I,FALSE),prev_sales, SUMIFS(sales_logs!$E:$E,sales_logs!$B:$B,$A13,sales_logs!$C:$C,"&gt;="&amp;prev_start,sales_logs!$C:$C,"&lt;="&amp;prev_end,sales_logs!$D:$D,"영업",sales_logs!$I:$I,FALSE),IF(prev_sales=0,"데이터부족",(cur_sales-prev_sales)/prev_sales)))</f>
        <v/>
      </c>
      <c r="K13">
        <f>IF($A13="","",IF(MONTH(DATE($C$1,$E$1,K$3))&lt;&gt;$E$1,"---",IF(DATE($C$1,$E$1,K$3)&gt;TODAY(),"",IF(COUNTIFS(sales_logs!$B:$B,$A13,sales_logs!$C:$C,DATE($C$1,$E$1,K$3),sales_logs!$I:$I,TRUE)&gt;0,"중복확인",IF(COUNTIFS(sales_logs!$B:$B,$A13,sales_logs!$C:$C,DATE($C$1,$E$1,K$3),sales_logs!$D:$D,"휴무",sales_logs!$I:$I,FALSE)&gt;0,"휴무",IF(COUNTIFS(sales_logs!$B:$B,$A13,sales_logs!$C:$C,DATE($C$1,$E$1,K$3),sales_logs!$I:$I,FALSE)=0,"미입력",SUMIFS(sales_logs!$E:$E,sales_logs!$B:$B,$A13,sales_logs!$C:$C,DATE($C$1,$E$1,K$3),sales_logs!$D:$D,"영업",sales_logs!$I:$I,FALSE)))))))</f>
        <v/>
      </c>
      <c r="L13">
        <f>IF($A13="","",IF(MONTH(DATE($C$1,$E$1,L$3))&lt;&gt;$E$1,"---",IF(DATE($C$1,$E$1,L$3)&gt;TODAY(),"",IF(COUNTIFS(sales_logs!$B:$B,$A13,sales_logs!$C:$C,DATE($C$1,$E$1,L$3),sales_logs!$I:$I,TRUE)&gt;0,"중복확인",IF(COUNTIFS(sales_logs!$B:$B,$A13,sales_logs!$C:$C,DATE($C$1,$E$1,L$3),sales_logs!$D:$D,"휴무",sales_logs!$I:$I,FALSE)&gt;0,"휴무",IF(COUNTIFS(sales_logs!$B:$B,$A13,sales_logs!$C:$C,DATE($C$1,$E$1,L$3),sales_logs!$I:$I,FALSE)=0,"미입력",SUMIFS(sales_logs!$E:$E,sales_logs!$B:$B,$A13,sales_logs!$C:$C,DATE($C$1,$E$1,L$3),sales_logs!$D:$D,"영업",sales_logs!$I:$I,FALSE)))))))</f>
        <v/>
      </c>
      <c r="M13">
        <f>IF($A13="","",IF(MONTH(DATE($C$1,$E$1,M$3))&lt;&gt;$E$1,"---",IF(DATE($C$1,$E$1,M$3)&gt;TODAY(),"",IF(COUNTIFS(sales_logs!$B:$B,$A13,sales_logs!$C:$C,DATE($C$1,$E$1,M$3),sales_logs!$I:$I,TRUE)&gt;0,"중복확인",IF(COUNTIFS(sales_logs!$B:$B,$A13,sales_logs!$C:$C,DATE($C$1,$E$1,M$3),sales_logs!$D:$D,"휴무",sales_logs!$I:$I,FALSE)&gt;0,"휴무",IF(COUNTIFS(sales_logs!$B:$B,$A13,sales_logs!$C:$C,DATE($C$1,$E$1,M$3),sales_logs!$I:$I,FALSE)=0,"미입력",SUMIFS(sales_logs!$E:$E,sales_logs!$B:$B,$A13,sales_logs!$C:$C,DATE($C$1,$E$1,M$3),sales_logs!$D:$D,"영업",sales_logs!$I:$I,FALSE)))))))</f>
        <v/>
      </c>
      <c r="N13">
        <f>IF($A13="","",IF(MONTH(DATE($C$1,$E$1,N$3))&lt;&gt;$E$1,"---",IF(DATE($C$1,$E$1,N$3)&gt;TODAY(),"",IF(COUNTIFS(sales_logs!$B:$B,$A13,sales_logs!$C:$C,DATE($C$1,$E$1,N$3),sales_logs!$I:$I,TRUE)&gt;0,"중복확인",IF(COUNTIFS(sales_logs!$B:$B,$A13,sales_logs!$C:$C,DATE($C$1,$E$1,N$3),sales_logs!$D:$D,"휴무",sales_logs!$I:$I,FALSE)&gt;0,"휴무",IF(COUNTIFS(sales_logs!$B:$B,$A13,sales_logs!$C:$C,DATE($C$1,$E$1,N$3),sales_logs!$I:$I,FALSE)=0,"미입력",SUMIFS(sales_logs!$E:$E,sales_logs!$B:$B,$A13,sales_logs!$C:$C,DATE($C$1,$E$1,N$3),sales_logs!$D:$D,"영업",sales_logs!$I:$I,FALSE)))))))</f>
        <v/>
      </c>
      <c r="O13">
        <f>IF($A13="","",IF(MONTH(DATE($C$1,$E$1,O$3))&lt;&gt;$E$1,"---",IF(DATE($C$1,$E$1,O$3)&gt;TODAY(),"",IF(COUNTIFS(sales_logs!$B:$B,$A13,sales_logs!$C:$C,DATE($C$1,$E$1,O$3),sales_logs!$I:$I,TRUE)&gt;0,"중복확인",IF(COUNTIFS(sales_logs!$B:$B,$A13,sales_logs!$C:$C,DATE($C$1,$E$1,O$3),sales_logs!$D:$D,"휴무",sales_logs!$I:$I,FALSE)&gt;0,"휴무",IF(COUNTIFS(sales_logs!$B:$B,$A13,sales_logs!$C:$C,DATE($C$1,$E$1,O$3),sales_logs!$I:$I,FALSE)=0,"미입력",SUMIFS(sales_logs!$E:$E,sales_logs!$B:$B,$A13,sales_logs!$C:$C,DATE($C$1,$E$1,O$3),sales_logs!$D:$D,"영업",sales_logs!$I:$I,FALSE)))))))</f>
        <v/>
      </c>
      <c r="P13">
        <f>IF($A13="","",IF(MONTH(DATE($C$1,$E$1,P$3))&lt;&gt;$E$1,"---",IF(DATE($C$1,$E$1,P$3)&gt;TODAY(),"",IF(COUNTIFS(sales_logs!$B:$B,$A13,sales_logs!$C:$C,DATE($C$1,$E$1,P$3),sales_logs!$I:$I,TRUE)&gt;0,"중복확인",IF(COUNTIFS(sales_logs!$B:$B,$A13,sales_logs!$C:$C,DATE($C$1,$E$1,P$3),sales_logs!$D:$D,"휴무",sales_logs!$I:$I,FALSE)&gt;0,"휴무",IF(COUNTIFS(sales_logs!$B:$B,$A13,sales_logs!$C:$C,DATE($C$1,$E$1,P$3),sales_logs!$I:$I,FALSE)=0,"미입력",SUMIFS(sales_logs!$E:$E,sales_logs!$B:$B,$A13,sales_logs!$C:$C,DATE($C$1,$E$1,P$3),sales_logs!$D:$D,"영업",sales_logs!$I:$I,FALSE)))))))</f>
        <v/>
      </c>
      <c r="Q13">
        <f>IF($A13="","",IF(MONTH(DATE($C$1,$E$1,Q$3))&lt;&gt;$E$1,"---",IF(DATE($C$1,$E$1,Q$3)&gt;TODAY(),"",IF(COUNTIFS(sales_logs!$B:$B,$A13,sales_logs!$C:$C,DATE($C$1,$E$1,Q$3),sales_logs!$I:$I,TRUE)&gt;0,"중복확인",IF(COUNTIFS(sales_logs!$B:$B,$A13,sales_logs!$C:$C,DATE($C$1,$E$1,Q$3),sales_logs!$D:$D,"휴무",sales_logs!$I:$I,FALSE)&gt;0,"휴무",IF(COUNTIFS(sales_logs!$B:$B,$A13,sales_logs!$C:$C,DATE($C$1,$E$1,Q$3),sales_logs!$I:$I,FALSE)=0,"미입력",SUMIFS(sales_logs!$E:$E,sales_logs!$B:$B,$A13,sales_logs!$C:$C,DATE($C$1,$E$1,Q$3),sales_logs!$D:$D,"영업",sales_logs!$I:$I,FALSE)))))))</f>
        <v/>
      </c>
      <c r="R13">
        <f>IF($A13="","",IF(MONTH(DATE($C$1,$E$1,R$3))&lt;&gt;$E$1,"---",IF(DATE($C$1,$E$1,R$3)&gt;TODAY(),"",IF(COUNTIFS(sales_logs!$B:$B,$A13,sales_logs!$C:$C,DATE($C$1,$E$1,R$3),sales_logs!$I:$I,TRUE)&gt;0,"중복확인",IF(COUNTIFS(sales_logs!$B:$B,$A13,sales_logs!$C:$C,DATE($C$1,$E$1,R$3),sales_logs!$D:$D,"휴무",sales_logs!$I:$I,FALSE)&gt;0,"휴무",IF(COUNTIFS(sales_logs!$B:$B,$A13,sales_logs!$C:$C,DATE($C$1,$E$1,R$3),sales_logs!$I:$I,FALSE)=0,"미입력",SUMIFS(sales_logs!$E:$E,sales_logs!$B:$B,$A13,sales_logs!$C:$C,DATE($C$1,$E$1,R$3),sales_logs!$D:$D,"영업",sales_logs!$I:$I,FALSE)))))))</f>
        <v/>
      </c>
      <c r="S13">
        <f>IF($A13="","",IF(MONTH(DATE($C$1,$E$1,S$3))&lt;&gt;$E$1,"---",IF(DATE($C$1,$E$1,S$3)&gt;TODAY(),"",IF(COUNTIFS(sales_logs!$B:$B,$A13,sales_logs!$C:$C,DATE($C$1,$E$1,S$3),sales_logs!$I:$I,TRUE)&gt;0,"중복확인",IF(COUNTIFS(sales_logs!$B:$B,$A13,sales_logs!$C:$C,DATE($C$1,$E$1,S$3),sales_logs!$D:$D,"휴무",sales_logs!$I:$I,FALSE)&gt;0,"휴무",IF(COUNTIFS(sales_logs!$B:$B,$A13,sales_logs!$C:$C,DATE($C$1,$E$1,S$3),sales_logs!$I:$I,FALSE)=0,"미입력",SUMIFS(sales_logs!$E:$E,sales_logs!$B:$B,$A13,sales_logs!$C:$C,DATE($C$1,$E$1,S$3),sales_logs!$D:$D,"영업",sales_logs!$I:$I,FALSE)))))))</f>
        <v/>
      </c>
      <c r="T13">
        <f>IF($A13="","",IF(MONTH(DATE($C$1,$E$1,T$3))&lt;&gt;$E$1,"---",IF(DATE($C$1,$E$1,T$3)&gt;TODAY(),"",IF(COUNTIFS(sales_logs!$B:$B,$A13,sales_logs!$C:$C,DATE($C$1,$E$1,T$3),sales_logs!$I:$I,TRUE)&gt;0,"중복확인",IF(COUNTIFS(sales_logs!$B:$B,$A13,sales_logs!$C:$C,DATE($C$1,$E$1,T$3),sales_logs!$D:$D,"휴무",sales_logs!$I:$I,FALSE)&gt;0,"휴무",IF(COUNTIFS(sales_logs!$B:$B,$A13,sales_logs!$C:$C,DATE($C$1,$E$1,T$3),sales_logs!$I:$I,FALSE)=0,"미입력",SUMIFS(sales_logs!$E:$E,sales_logs!$B:$B,$A13,sales_logs!$C:$C,DATE($C$1,$E$1,T$3),sales_logs!$D:$D,"영업",sales_logs!$I:$I,FALSE)))))))</f>
        <v/>
      </c>
      <c r="U13">
        <f>IF($A13="","",IF(MONTH(DATE($C$1,$E$1,U$3))&lt;&gt;$E$1,"---",IF(DATE($C$1,$E$1,U$3)&gt;TODAY(),"",IF(COUNTIFS(sales_logs!$B:$B,$A13,sales_logs!$C:$C,DATE($C$1,$E$1,U$3),sales_logs!$I:$I,TRUE)&gt;0,"중복확인",IF(COUNTIFS(sales_logs!$B:$B,$A13,sales_logs!$C:$C,DATE($C$1,$E$1,U$3),sales_logs!$D:$D,"휴무",sales_logs!$I:$I,FALSE)&gt;0,"휴무",IF(COUNTIFS(sales_logs!$B:$B,$A13,sales_logs!$C:$C,DATE($C$1,$E$1,U$3),sales_logs!$I:$I,FALSE)=0,"미입력",SUMIFS(sales_logs!$E:$E,sales_logs!$B:$B,$A13,sales_logs!$C:$C,DATE($C$1,$E$1,U$3),sales_logs!$D:$D,"영업",sales_logs!$I:$I,FALSE)))))))</f>
        <v/>
      </c>
      <c r="V13">
        <f>IF($A13="","",IF(MONTH(DATE($C$1,$E$1,V$3))&lt;&gt;$E$1,"---",IF(DATE($C$1,$E$1,V$3)&gt;TODAY(),"",IF(COUNTIFS(sales_logs!$B:$B,$A13,sales_logs!$C:$C,DATE($C$1,$E$1,V$3),sales_logs!$I:$I,TRUE)&gt;0,"중복확인",IF(COUNTIFS(sales_logs!$B:$B,$A13,sales_logs!$C:$C,DATE($C$1,$E$1,V$3),sales_logs!$D:$D,"휴무",sales_logs!$I:$I,FALSE)&gt;0,"휴무",IF(COUNTIFS(sales_logs!$B:$B,$A13,sales_logs!$C:$C,DATE($C$1,$E$1,V$3),sales_logs!$I:$I,FALSE)=0,"미입력",SUMIFS(sales_logs!$E:$E,sales_logs!$B:$B,$A13,sales_logs!$C:$C,DATE($C$1,$E$1,V$3),sales_logs!$D:$D,"영업",sales_logs!$I:$I,FALSE)))))))</f>
        <v/>
      </c>
      <c r="W13">
        <f>IF($A13="","",IF(MONTH(DATE($C$1,$E$1,W$3))&lt;&gt;$E$1,"---",IF(DATE($C$1,$E$1,W$3)&gt;TODAY(),"",IF(COUNTIFS(sales_logs!$B:$B,$A13,sales_logs!$C:$C,DATE($C$1,$E$1,W$3),sales_logs!$I:$I,TRUE)&gt;0,"중복확인",IF(COUNTIFS(sales_logs!$B:$B,$A13,sales_logs!$C:$C,DATE($C$1,$E$1,W$3),sales_logs!$D:$D,"휴무",sales_logs!$I:$I,FALSE)&gt;0,"휴무",IF(COUNTIFS(sales_logs!$B:$B,$A13,sales_logs!$C:$C,DATE($C$1,$E$1,W$3),sales_logs!$I:$I,FALSE)=0,"미입력",SUMIFS(sales_logs!$E:$E,sales_logs!$B:$B,$A13,sales_logs!$C:$C,DATE($C$1,$E$1,W$3),sales_logs!$D:$D,"영업",sales_logs!$I:$I,FALSE)))))))</f>
        <v/>
      </c>
      <c r="X13">
        <f>IF($A13="","",IF(MONTH(DATE($C$1,$E$1,X$3))&lt;&gt;$E$1,"---",IF(DATE($C$1,$E$1,X$3)&gt;TODAY(),"",IF(COUNTIFS(sales_logs!$B:$B,$A13,sales_logs!$C:$C,DATE($C$1,$E$1,X$3),sales_logs!$I:$I,TRUE)&gt;0,"중복확인",IF(COUNTIFS(sales_logs!$B:$B,$A13,sales_logs!$C:$C,DATE($C$1,$E$1,X$3),sales_logs!$D:$D,"휴무",sales_logs!$I:$I,FALSE)&gt;0,"휴무",IF(COUNTIFS(sales_logs!$B:$B,$A13,sales_logs!$C:$C,DATE($C$1,$E$1,X$3),sales_logs!$I:$I,FALSE)=0,"미입력",SUMIFS(sales_logs!$E:$E,sales_logs!$B:$B,$A13,sales_logs!$C:$C,DATE($C$1,$E$1,X$3),sales_logs!$D:$D,"영업",sales_logs!$I:$I,FALSE)))))))</f>
        <v/>
      </c>
      <c r="Y13">
        <f>IF($A13="","",IF(MONTH(DATE($C$1,$E$1,Y$3))&lt;&gt;$E$1,"---",IF(DATE($C$1,$E$1,Y$3)&gt;TODAY(),"",IF(COUNTIFS(sales_logs!$B:$B,$A13,sales_logs!$C:$C,DATE($C$1,$E$1,Y$3),sales_logs!$I:$I,TRUE)&gt;0,"중복확인",IF(COUNTIFS(sales_logs!$B:$B,$A13,sales_logs!$C:$C,DATE($C$1,$E$1,Y$3),sales_logs!$D:$D,"휴무",sales_logs!$I:$I,FALSE)&gt;0,"휴무",IF(COUNTIFS(sales_logs!$B:$B,$A13,sales_logs!$C:$C,DATE($C$1,$E$1,Y$3),sales_logs!$I:$I,FALSE)=0,"미입력",SUMIFS(sales_logs!$E:$E,sales_logs!$B:$B,$A13,sales_logs!$C:$C,DATE($C$1,$E$1,Y$3),sales_logs!$D:$D,"영업",sales_logs!$I:$I,FALSE)))))))</f>
        <v/>
      </c>
      <c r="Z13">
        <f>IF($A13="","",IF(MONTH(DATE($C$1,$E$1,Z$3))&lt;&gt;$E$1,"---",IF(DATE($C$1,$E$1,Z$3)&gt;TODAY(),"",IF(COUNTIFS(sales_logs!$B:$B,$A13,sales_logs!$C:$C,DATE($C$1,$E$1,Z$3),sales_logs!$I:$I,TRUE)&gt;0,"중복확인",IF(COUNTIFS(sales_logs!$B:$B,$A13,sales_logs!$C:$C,DATE($C$1,$E$1,Z$3),sales_logs!$D:$D,"휴무",sales_logs!$I:$I,FALSE)&gt;0,"휴무",IF(COUNTIFS(sales_logs!$B:$B,$A13,sales_logs!$C:$C,DATE($C$1,$E$1,Z$3),sales_logs!$I:$I,FALSE)=0,"미입력",SUMIFS(sales_logs!$E:$E,sales_logs!$B:$B,$A13,sales_logs!$C:$C,DATE($C$1,$E$1,Z$3),sales_logs!$D:$D,"영업",sales_logs!$I:$I,FALSE)))))))</f>
        <v/>
      </c>
      <c r="AA13">
        <f>IF($A13="","",IF(MONTH(DATE($C$1,$E$1,AA$3))&lt;&gt;$E$1,"---",IF(DATE($C$1,$E$1,AA$3)&gt;TODAY(),"",IF(COUNTIFS(sales_logs!$B:$B,$A13,sales_logs!$C:$C,DATE($C$1,$E$1,AA$3),sales_logs!$I:$I,TRUE)&gt;0,"중복확인",IF(COUNTIFS(sales_logs!$B:$B,$A13,sales_logs!$C:$C,DATE($C$1,$E$1,AA$3),sales_logs!$D:$D,"휴무",sales_logs!$I:$I,FALSE)&gt;0,"휴무",IF(COUNTIFS(sales_logs!$B:$B,$A13,sales_logs!$C:$C,DATE($C$1,$E$1,AA$3),sales_logs!$I:$I,FALSE)=0,"미입력",SUMIFS(sales_logs!$E:$E,sales_logs!$B:$B,$A13,sales_logs!$C:$C,DATE($C$1,$E$1,AA$3),sales_logs!$D:$D,"영업",sales_logs!$I:$I,FALSE)))))))</f>
        <v/>
      </c>
      <c r="AB13">
        <f>IF($A13="","",IF(MONTH(DATE($C$1,$E$1,AB$3))&lt;&gt;$E$1,"---",IF(DATE($C$1,$E$1,AB$3)&gt;TODAY(),"",IF(COUNTIFS(sales_logs!$B:$B,$A13,sales_logs!$C:$C,DATE($C$1,$E$1,AB$3),sales_logs!$I:$I,TRUE)&gt;0,"중복확인",IF(COUNTIFS(sales_logs!$B:$B,$A13,sales_logs!$C:$C,DATE($C$1,$E$1,AB$3),sales_logs!$D:$D,"휴무",sales_logs!$I:$I,FALSE)&gt;0,"휴무",IF(COUNTIFS(sales_logs!$B:$B,$A13,sales_logs!$C:$C,DATE($C$1,$E$1,AB$3),sales_logs!$I:$I,FALSE)=0,"미입력",SUMIFS(sales_logs!$E:$E,sales_logs!$B:$B,$A13,sales_logs!$C:$C,DATE($C$1,$E$1,AB$3),sales_logs!$D:$D,"영업",sales_logs!$I:$I,FALSE)))))))</f>
        <v/>
      </c>
      <c r="AC13">
        <f>IF($A13="","",IF(MONTH(DATE($C$1,$E$1,AC$3))&lt;&gt;$E$1,"---",IF(DATE($C$1,$E$1,AC$3)&gt;TODAY(),"",IF(COUNTIFS(sales_logs!$B:$B,$A13,sales_logs!$C:$C,DATE($C$1,$E$1,AC$3),sales_logs!$I:$I,TRUE)&gt;0,"중복확인",IF(COUNTIFS(sales_logs!$B:$B,$A13,sales_logs!$C:$C,DATE($C$1,$E$1,AC$3),sales_logs!$D:$D,"휴무",sales_logs!$I:$I,FALSE)&gt;0,"휴무",IF(COUNTIFS(sales_logs!$B:$B,$A13,sales_logs!$C:$C,DATE($C$1,$E$1,AC$3),sales_logs!$I:$I,FALSE)=0,"미입력",SUMIFS(sales_logs!$E:$E,sales_logs!$B:$B,$A13,sales_logs!$C:$C,DATE($C$1,$E$1,AC$3),sales_logs!$D:$D,"영업",sales_logs!$I:$I,FALSE)))))))</f>
        <v/>
      </c>
      <c r="AD13">
        <f>IF($A13="","",IF(MONTH(DATE($C$1,$E$1,AD$3))&lt;&gt;$E$1,"---",IF(DATE($C$1,$E$1,AD$3)&gt;TODAY(),"",IF(COUNTIFS(sales_logs!$B:$B,$A13,sales_logs!$C:$C,DATE($C$1,$E$1,AD$3),sales_logs!$I:$I,TRUE)&gt;0,"중복확인",IF(COUNTIFS(sales_logs!$B:$B,$A13,sales_logs!$C:$C,DATE($C$1,$E$1,AD$3),sales_logs!$D:$D,"휴무",sales_logs!$I:$I,FALSE)&gt;0,"휴무",IF(COUNTIFS(sales_logs!$B:$B,$A13,sales_logs!$C:$C,DATE($C$1,$E$1,AD$3),sales_logs!$I:$I,FALSE)=0,"미입력",SUMIFS(sales_logs!$E:$E,sales_logs!$B:$B,$A13,sales_logs!$C:$C,DATE($C$1,$E$1,AD$3),sales_logs!$D:$D,"영업",sales_logs!$I:$I,FALSE)))))))</f>
        <v/>
      </c>
      <c r="AE13">
        <f>IF($A13="","",IF(MONTH(DATE($C$1,$E$1,AE$3))&lt;&gt;$E$1,"---",IF(DATE($C$1,$E$1,AE$3)&gt;TODAY(),"",IF(COUNTIFS(sales_logs!$B:$B,$A13,sales_logs!$C:$C,DATE($C$1,$E$1,AE$3),sales_logs!$I:$I,TRUE)&gt;0,"중복확인",IF(COUNTIFS(sales_logs!$B:$B,$A13,sales_logs!$C:$C,DATE($C$1,$E$1,AE$3),sales_logs!$D:$D,"휴무",sales_logs!$I:$I,FALSE)&gt;0,"휴무",IF(COUNTIFS(sales_logs!$B:$B,$A13,sales_logs!$C:$C,DATE($C$1,$E$1,AE$3),sales_logs!$I:$I,FALSE)=0,"미입력",SUMIFS(sales_logs!$E:$E,sales_logs!$B:$B,$A13,sales_logs!$C:$C,DATE($C$1,$E$1,AE$3),sales_logs!$D:$D,"영업",sales_logs!$I:$I,FALSE)))))))</f>
        <v/>
      </c>
      <c r="AF13">
        <f>IF($A13="","",IF(MONTH(DATE($C$1,$E$1,AF$3))&lt;&gt;$E$1,"---",IF(DATE($C$1,$E$1,AF$3)&gt;TODAY(),"",IF(COUNTIFS(sales_logs!$B:$B,$A13,sales_logs!$C:$C,DATE($C$1,$E$1,AF$3),sales_logs!$I:$I,TRUE)&gt;0,"중복확인",IF(COUNTIFS(sales_logs!$B:$B,$A13,sales_logs!$C:$C,DATE($C$1,$E$1,AF$3),sales_logs!$D:$D,"휴무",sales_logs!$I:$I,FALSE)&gt;0,"휴무",IF(COUNTIFS(sales_logs!$B:$B,$A13,sales_logs!$C:$C,DATE($C$1,$E$1,AF$3),sales_logs!$I:$I,FALSE)=0,"미입력",SUMIFS(sales_logs!$E:$E,sales_logs!$B:$B,$A13,sales_logs!$C:$C,DATE($C$1,$E$1,AF$3),sales_logs!$D:$D,"영업",sales_logs!$I:$I,FALSE)))))))</f>
        <v/>
      </c>
      <c r="AG13">
        <f>IF($A13="","",IF(MONTH(DATE($C$1,$E$1,AG$3))&lt;&gt;$E$1,"---",IF(DATE($C$1,$E$1,AG$3)&gt;TODAY(),"",IF(COUNTIFS(sales_logs!$B:$B,$A13,sales_logs!$C:$C,DATE($C$1,$E$1,AG$3),sales_logs!$I:$I,TRUE)&gt;0,"중복확인",IF(COUNTIFS(sales_logs!$B:$B,$A13,sales_logs!$C:$C,DATE($C$1,$E$1,AG$3),sales_logs!$D:$D,"휴무",sales_logs!$I:$I,FALSE)&gt;0,"휴무",IF(COUNTIFS(sales_logs!$B:$B,$A13,sales_logs!$C:$C,DATE($C$1,$E$1,AG$3),sales_logs!$I:$I,FALSE)=0,"미입력",SUMIFS(sales_logs!$E:$E,sales_logs!$B:$B,$A13,sales_logs!$C:$C,DATE($C$1,$E$1,AG$3),sales_logs!$D:$D,"영업",sales_logs!$I:$I,FALSE)))))))</f>
        <v/>
      </c>
      <c r="AH13">
        <f>IF($A13="","",IF(MONTH(DATE($C$1,$E$1,AH$3))&lt;&gt;$E$1,"---",IF(DATE($C$1,$E$1,AH$3)&gt;TODAY(),"",IF(COUNTIFS(sales_logs!$B:$B,$A13,sales_logs!$C:$C,DATE($C$1,$E$1,AH$3),sales_logs!$I:$I,TRUE)&gt;0,"중복확인",IF(COUNTIFS(sales_logs!$B:$B,$A13,sales_logs!$C:$C,DATE($C$1,$E$1,AH$3),sales_logs!$D:$D,"휴무",sales_logs!$I:$I,FALSE)&gt;0,"휴무",IF(COUNTIFS(sales_logs!$B:$B,$A13,sales_logs!$C:$C,DATE($C$1,$E$1,AH$3),sales_logs!$I:$I,FALSE)=0,"미입력",SUMIFS(sales_logs!$E:$E,sales_logs!$B:$B,$A13,sales_logs!$C:$C,DATE($C$1,$E$1,AH$3),sales_logs!$D:$D,"영업",sales_logs!$I:$I,FALSE)))))))</f>
        <v/>
      </c>
      <c r="AI13">
        <f>IF($A13="","",IF(MONTH(DATE($C$1,$E$1,AI$3))&lt;&gt;$E$1,"---",IF(DATE($C$1,$E$1,AI$3)&gt;TODAY(),"",IF(COUNTIFS(sales_logs!$B:$B,$A13,sales_logs!$C:$C,DATE($C$1,$E$1,AI$3),sales_logs!$I:$I,TRUE)&gt;0,"중복확인",IF(COUNTIFS(sales_logs!$B:$B,$A13,sales_logs!$C:$C,DATE($C$1,$E$1,AI$3),sales_logs!$D:$D,"휴무",sales_logs!$I:$I,FALSE)&gt;0,"휴무",IF(COUNTIFS(sales_logs!$B:$B,$A13,sales_logs!$C:$C,DATE($C$1,$E$1,AI$3),sales_logs!$I:$I,FALSE)=0,"미입력",SUMIFS(sales_logs!$E:$E,sales_logs!$B:$B,$A13,sales_logs!$C:$C,DATE($C$1,$E$1,AI$3),sales_logs!$D:$D,"영업",sales_logs!$I:$I,FALSE)))))))</f>
        <v/>
      </c>
      <c r="AJ13">
        <f>IF($A13="","",IF(MONTH(DATE($C$1,$E$1,AJ$3))&lt;&gt;$E$1,"---",IF(DATE($C$1,$E$1,AJ$3)&gt;TODAY(),"",IF(COUNTIFS(sales_logs!$B:$B,$A13,sales_logs!$C:$C,DATE($C$1,$E$1,AJ$3),sales_logs!$I:$I,TRUE)&gt;0,"중복확인",IF(COUNTIFS(sales_logs!$B:$B,$A13,sales_logs!$C:$C,DATE($C$1,$E$1,AJ$3),sales_logs!$D:$D,"휴무",sales_logs!$I:$I,FALSE)&gt;0,"휴무",IF(COUNTIFS(sales_logs!$B:$B,$A13,sales_logs!$C:$C,DATE($C$1,$E$1,AJ$3),sales_logs!$I:$I,FALSE)=0,"미입력",SUMIFS(sales_logs!$E:$E,sales_logs!$B:$B,$A13,sales_logs!$C:$C,DATE($C$1,$E$1,AJ$3),sales_logs!$D:$D,"영업",sales_logs!$I:$I,FALSE)))))))</f>
        <v/>
      </c>
      <c r="AK13">
        <f>IF($A13="","",IF(MONTH(DATE($C$1,$E$1,AK$3))&lt;&gt;$E$1,"---",IF(DATE($C$1,$E$1,AK$3)&gt;TODAY(),"",IF(COUNTIFS(sales_logs!$B:$B,$A13,sales_logs!$C:$C,DATE($C$1,$E$1,AK$3),sales_logs!$I:$I,TRUE)&gt;0,"중복확인",IF(COUNTIFS(sales_logs!$B:$B,$A13,sales_logs!$C:$C,DATE($C$1,$E$1,AK$3),sales_logs!$D:$D,"휴무",sales_logs!$I:$I,FALSE)&gt;0,"휴무",IF(COUNTIFS(sales_logs!$B:$B,$A13,sales_logs!$C:$C,DATE($C$1,$E$1,AK$3),sales_logs!$I:$I,FALSE)=0,"미입력",SUMIFS(sales_logs!$E:$E,sales_logs!$B:$B,$A13,sales_logs!$C:$C,DATE($C$1,$E$1,AK$3),sales_logs!$D:$D,"영업",sales_logs!$I:$I,FALSE)))))))</f>
        <v/>
      </c>
      <c r="AL13">
        <f>IF($A13="","",IF(MONTH(DATE($C$1,$E$1,AL$3))&lt;&gt;$E$1,"---",IF(DATE($C$1,$E$1,AL$3)&gt;TODAY(),"",IF(COUNTIFS(sales_logs!$B:$B,$A13,sales_logs!$C:$C,DATE($C$1,$E$1,AL$3),sales_logs!$I:$I,TRUE)&gt;0,"중복확인",IF(COUNTIFS(sales_logs!$B:$B,$A13,sales_logs!$C:$C,DATE($C$1,$E$1,AL$3),sales_logs!$D:$D,"휴무",sales_logs!$I:$I,FALSE)&gt;0,"휴무",IF(COUNTIFS(sales_logs!$B:$B,$A13,sales_logs!$C:$C,DATE($C$1,$E$1,AL$3),sales_logs!$I:$I,FALSE)=0,"미입력",SUMIFS(sales_logs!$E:$E,sales_logs!$B:$B,$A13,sales_logs!$C:$C,DATE($C$1,$E$1,AL$3),sales_logs!$D:$D,"영업",sales_logs!$I:$I,FALSE)))))))</f>
        <v/>
      </c>
      <c r="AM13">
        <f>IF($A13="","",IF(MONTH(DATE($C$1,$E$1,AM$3))&lt;&gt;$E$1,"---",IF(DATE($C$1,$E$1,AM$3)&gt;TODAY(),"",IF(COUNTIFS(sales_logs!$B:$B,$A13,sales_logs!$C:$C,DATE($C$1,$E$1,AM$3),sales_logs!$I:$I,TRUE)&gt;0,"중복확인",IF(COUNTIFS(sales_logs!$B:$B,$A13,sales_logs!$C:$C,DATE($C$1,$E$1,AM$3),sales_logs!$D:$D,"휴무",sales_logs!$I:$I,FALSE)&gt;0,"휴무",IF(COUNTIFS(sales_logs!$B:$B,$A13,sales_logs!$C:$C,DATE($C$1,$E$1,AM$3),sales_logs!$I:$I,FALSE)=0,"미입력",SUMIFS(sales_logs!$E:$E,sales_logs!$B:$B,$A13,sales_logs!$C:$C,DATE($C$1,$E$1,AM$3),sales_logs!$D:$D,"영업",sales_logs!$I:$I,FALSE)))))))</f>
        <v/>
      </c>
      <c r="AN13">
        <f>IF($A13="","",IF(MONTH(DATE($C$1,$E$1,AN$3))&lt;&gt;$E$1,"---",IF(DATE($C$1,$E$1,AN$3)&gt;TODAY(),"",IF(COUNTIFS(sales_logs!$B:$B,$A13,sales_logs!$C:$C,DATE($C$1,$E$1,AN$3),sales_logs!$I:$I,TRUE)&gt;0,"중복확인",IF(COUNTIFS(sales_logs!$B:$B,$A13,sales_logs!$C:$C,DATE($C$1,$E$1,AN$3),sales_logs!$D:$D,"휴무",sales_logs!$I:$I,FALSE)&gt;0,"휴무",IF(COUNTIFS(sales_logs!$B:$B,$A13,sales_logs!$C:$C,DATE($C$1,$E$1,AN$3),sales_logs!$I:$I,FALSE)=0,"미입력",SUMIFS(sales_logs!$E:$E,sales_logs!$B:$B,$A13,sales_logs!$C:$C,DATE($C$1,$E$1,AN$3),sales_logs!$D:$D,"영업",sales_logs!$I:$I,FALSE)))))))</f>
        <v/>
      </c>
      <c r="AO13">
        <f>IF($A13="","",IF(MONTH(DATE($C$1,$E$1,AO$3))&lt;&gt;$E$1,"---",IF(DATE($C$1,$E$1,AO$3)&gt;TODAY(),"",IF(COUNTIFS(sales_logs!$B:$B,$A13,sales_logs!$C:$C,DATE($C$1,$E$1,AO$3),sales_logs!$I:$I,TRUE)&gt;0,"중복확인",IF(COUNTIFS(sales_logs!$B:$B,$A13,sales_logs!$C:$C,DATE($C$1,$E$1,AO$3),sales_logs!$D:$D,"휴무",sales_logs!$I:$I,FALSE)&gt;0,"휴무",IF(COUNTIFS(sales_logs!$B:$B,$A13,sales_logs!$C:$C,DATE($C$1,$E$1,AO$3),sales_logs!$I:$I,FALSE)=0,"미입력",SUMIFS(sales_logs!$E:$E,sales_logs!$B:$B,$A13,sales_logs!$C:$C,DATE($C$1,$E$1,AO$3),sales_logs!$D:$D,"영업",sales_logs!$I:$I,FALSE)))))))</f>
        <v/>
      </c>
    </row>
    <row r="14">
      <c r="A14">
        <f>IFERROR(INDEX(FILTER(stores!$A$2:$A,stores!$G$2:$G="active"),ROW()-3),"")</f>
        <v/>
      </c>
      <c r="B14">
        <f>IF($A14="","",VLOOKUP($A14,stores!$A:$B,2,0))</f>
        <v/>
      </c>
      <c r="C14">
        <f>IF($A14="","",VLOOKUP($A14,stores!$A:$C,3,0))</f>
        <v/>
      </c>
      <c r="D14">
        <f>IF($A14="","",IF(DATE($C$1,$E$1,1)&gt;TODAY(),0,IFERROR(COUNTUNIQUE(FILTER(sales_logs!$C$2:$C$1000,sales_logs!$B$2:$B$1000=$A14,sales_logs!$C$2:$C$1000&gt;=DATE($C$1,$E$1,1),sales_logs!$C$2:$C$1000&lt;=MIN(TODAY(),EOMONTH(DATE($C$1,$E$1,1),0)),sales_logs!$I$2:$I$1000=FALSE))/DAY(MIN(TODAY(),EOMONTH(DATE($C$1,$E$1,1),0))),0)))</f>
        <v/>
      </c>
      <c r="E14">
        <f>IF($A14="","",IF(DATE($C$1,$E$1,1)&gt;TODAY(),0,DAY(MIN(TODAY(),EOMONTH(DATE($C$1,$E$1,1),0)))-IFERROR(COUNTUNIQUE(FILTER(sales_logs!$C$2:$C$1000,sales_logs!$B$2:$B$1000=$A14,sales_logs!$C$2:$C$1000&gt;=DATE($C$1,$E$1,1),sales_logs!$C$2:$C$1000&lt;=MIN(TODAY(),EOMONTH(DATE($C$1,$E$1,1),0)),sales_logs!$I$2:$I$1000=FALSE)),0)))</f>
        <v/>
      </c>
      <c r="F14">
        <f>IF($A14="","",COUNTIFS(sales_logs!$B:$B,$A14,sales_logs!$C:$C,"&gt;="&amp;DATE($C$1,$E$1,1),sales_logs!$C:$C,"&lt;="&amp;EOMONTH(DATE($C$1,$E$1,1),0),sales_logs!$D:$D,"휴무",sales_logs!$I:$I,FALSE))</f>
        <v/>
      </c>
      <c r="G14">
        <f>IF($A14="","",COUNTIFS(sales_logs!$B:$B,$A14,sales_logs!$C:$C,"&gt;="&amp;DATE($C$1,$E$1,1),sales_logs!$C:$C,"&lt;="&amp;EOMONTH(DATE($C$1,$E$1,1),0),sales_logs!$D:$D,"영업",sales_logs!$I:$I,FALSE))</f>
        <v/>
      </c>
      <c r="H14">
        <f>IF($A14="","",SUMIFS(sales_logs!$E:$E,sales_logs!$B:$B,$A14,sales_logs!$C:$C,"&gt;="&amp;DATE($C$1,$E$1,1),sales_logs!$C:$C,"&lt;="&amp;EOMONTH(DATE($C$1,$E$1,1),0),sales_logs!$D:$D,"영업",sales_logs!$I:$I,FALSE))</f>
        <v/>
      </c>
      <c r="I14">
        <f>IF(OR($A14="",G14=0),"",H14/G14)</f>
        <v/>
      </c>
      <c r="J14">
        <f>IF($A14="","",LET(cur_end, MIN(TODAY(),EOMONTH(DATE($C$1,$E$1,1),0)),cmp_day, DAY(cur_end),prev_start, DATE($C$1,$E$1-1,1),prev_end, MIN(DATE($C$1,$E$1-1,cmp_day),EOMONTH(DATE($C$1,$E$1-1,1),0)),cur_sales, SUMIFS(sales_logs!$E:$E,sales_logs!$B:$B,$A14,sales_logs!$C:$C,"&gt;="&amp;DATE($C$1,$E$1,1),sales_logs!$C:$C,"&lt;="&amp;cur_end,sales_logs!$D:$D,"영업",sales_logs!$I:$I,FALSE),prev_sales, SUMIFS(sales_logs!$E:$E,sales_logs!$B:$B,$A14,sales_logs!$C:$C,"&gt;="&amp;prev_start,sales_logs!$C:$C,"&lt;="&amp;prev_end,sales_logs!$D:$D,"영업",sales_logs!$I:$I,FALSE),IF(prev_sales=0,"데이터부족",(cur_sales-prev_sales)/prev_sales)))</f>
        <v/>
      </c>
      <c r="K14">
        <f>IF($A14="","",IF(MONTH(DATE($C$1,$E$1,K$3))&lt;&gt;$E$1,"---",IF(DATE($C$1,$E$1,K$3)&gt;TODAY(),"",IF(COUNTIFS(sales_logs!$B:$B,$A14,sales_logs!$C:$C,DATE($C$1,$E$1,K$3),sales_logs!$I:$I,TRUE)&gt;0,"중복확인",IF(COUNTIFS(sales_logs!$B:$B,$A14,sales_logs!$C:$C,DATE($C$1,$E$1,K$3),sales_logs!$D:$D,"휴무",sales_logs!$I:$I,FALSE)&gt;0,"휴무",IF(COUNTIFS(sales_logs!$B:$B,$A14,sales_logs!$C:$C,DATE($C$1,$E$1,K$3),sales_logs!$I:$I,FALSE)=0,"미입력",SUMIFS(sales_logs!$E:$E,sales_logs!$B:$B,$A14,sales_logs!$C:$C,DATE($C$1,$E$1,K$3),sales_logs!$D:$D,"영업",sales_logs!$I:$I,FALSE)))))))</f>
        <v/>
      </c>
      <c r="L14">
        <f>IF($A14="","",IF(MONTH(DATE($C$1,$E$1,L$3))&lt;&gt;$E$1,"---",IF(DATE($C$1,$E$1,L$3)&gt;TODAY(),"",IF(COUNTIFS(sales_logs!$B:$B,$A14,sales_logs!$C:$C,DATE($C$1,$E$1,L$3),sales_logs!$I:$I,TRUE)&gt;0,"중복확인",IF(COUNTIFS(sales_logs!$B:$B,$A14,sales_logs!$C:$C,DATE($C$1,$E$1,L$3),sales_logs!$D:$D,"휴무",sales_logs!$I:$I,FALSE)&gt;0,"휴무",IF(COUNTIFS(sales_logs!$B:$B,$A14,sales_logs!$C:$C,DATE($C$1,$E$1,L$3),sales_logs!$I:$I,FALSE)=0,"미입력",SUMIFS(sales_logs!$E:$E,sales_logs!$B:$B,$A14,sales_logs!$C:$C,DATE($C$1,$E$1,L$3),sales_logs!$D:$D,"영업",sales_logs!$I:$I,FALSE)))))))</f>
        <v/>
      </c>
      <c r="M14">
        <f>IF($A14="","",IF(MONTH(DATE($C$1,$E$1,M$3))&lt;&gt;$E$1,"---",IF(DATE($C$1,$E$1,M$3)&gt;TODAY(),"",IF(COUNTIFS(sales_logs!$B:$B,$A14,sales_logs!$C:$C,DATE($C$1,$E$1,M$3),sales_logs!$I:$I,TRUE)&gt;0,"중복확인",IF(COUNTIFS(sales_logs!$B:$B,$A14,sales_logs!$C:$C,DATE($C$1,$E$1,M$3),sales_logs!$D:$D,"휴무",sales_logs!$I:$I,FALSE)&gt;0,"휴무",IF(COUNTIFS(sales_logs!$B:$B,$A14,sales_logs!$C:$C,DATE($C$1,$E$1,M$3),sales_logs!$I:$I,FALSE)=0,"미입력",SUMIFS(sales_logs!$E:$E,sales_logs!$B:$B,$A14,sales_logs!$C:$C,DATE($C$1,$E$1,M$3),sales_logs!$D:$D,"영업",sales_logs!$I:$I,FALSE)))))))</f>
        <v/>
      </c>
      <c r="N14">
        <f>IF($A14="","",IF(MONTH(DATE($C$1,$E$1,N$3))&lt;&gt;$E$1,"---",IF(DATE($C$1,$E$1,N$3)&gt;TODAY(),"",IF(COUNTIFS(sales_logs!$B:$B,$A14,sales_logs!$C:$C,DATE($C$1,$E$1,N$3),sales_logs!$I:$I,TRUE)&gt;0,"중복확인",IF(COUNTIFS(sales_logs!$B:$B,$A14,sales_logs!$C:$C,DATE($C$1,$E$1,N$3),sales_logs!$D:$D,"휴무",sales_logs!$I:$I,FALSE)&gt;0,"휴무",IF(COUNTIFS(sales_logs!$B:$B,$A14,sales_logs!$C:$C,DATE($C$1,$E$1,N$3),sales_logs!$I:$I,FALSE)=0,"미입력",SUMIFS(sales_logs!$E:$E,sales_logs!$B:$B,$A14,sales_logs!$C:$C,DATE($C$1,$E$1,N$3),sales_logs!$D:$D,"영업",sales_logs!$I:$I,FALSE)))))))</f>
        <v/>
      </c>
      <c r="O14">
        <f>IF($A14="","",IF(MONTH(DATE($C$1,$E$1,O$3))&lt;&gt;$E$1,"---",IF(DATE($C$1,$E$1,O$3)&gt;TODAY(),"",IF(COUNTIFS(sales_logs!$B:$B,$A14,sales_logs!$C:$C,DATE($C$1,$E$1,O$3),sales_logs!$I:$I,TRUE)&gt;0,"중복확인",IF(COUNTIFS(sales_logs!$B:$B,$A14,sales_logs!$C:$C,DATE($C$1,$E$1,O$3),sales_logs!$D:$D,"휴무",sales_logs!$I:$I,FALSE)&gt;0,"휴무",IF(COUNTIFS(sales_logs!$B:$B,$A14,sales_logs!$C:$C,DATE($C$1,$E$1,O$3),sales_logs!$I:$I,FALSE)=0,"미입력",SUMIFS(sales_logs!$E:$E,sales_logs!$B:$B,$A14,sales_logs!$C:$C,DATE($C$1,$E$1,O$3),sales_logs!$D:$D,"영업",sales_logs!$I:$I,FALSE)))))))</f>
        <v/>
      </c>
      <c r="P14">
        <f>IF($A14="","",IF(MONTH(DATE($C$1,$E$1,P$3))&lt;&gt;$E$1,"---",IF(DATE($C$1,$E$1,P$3)&gt;TODAY(),"",IF(COUNTIFS(sales_logs!$B:$B,$A14,sales_logs!$C:$C,DATE($C$1,$E$1,P$3),sales_logs!$I:$I,TRUE)&gt;0,"중복확인",IF(COUNTIFS(sales_logs!$B:$B,$A14,sales_logs!$C:$C,DATE($C$1,$E$1,P$3),sales_logs!$D:$D,"휴무",sales_logs!$I:$I,FALSE)&gt;0,"휴무",IF(COUNTIFS(sales_logs!$B:$B,$A14,sales_logs!$C:$C,DATE($C$1,$E$1,P$3),sales_logs!$I:$I,FALSE)=0,"미입력",SUMIFS(sales_logs!$E:$E,sales_logs!$B:$B,$A14,sales_logs!$C:$C,DATE($C$1,$E$1,P$3),sales_logs!$D:$D,"영업",sales_logs!$I:$I,FALSE)))))))</f>
        <v/>
      </c>
      <c r="Q14">
        <f>IF($A14="","",IF(MONTH(DATE($C$1,$E$1,Q$3))&lt;&gt;$E$1,"---",IF(DATE($C$1,$E$1,Q$3)&gt;TODAY(),"",IF(COUNTIFS(sales_logs!$B:$B,$A14,sales_logs!$C:$C,DATE($C$1,$E$1,Q$3),sales_logs!$I:$I,TRUE)&gt;0,"중복확인",IF(COUNTIFS(sales_logs!$B:$B,$A14,sales_logs!$C:$C,DATE($C$1,$E$1,Q$3),sales_logs!$D:$D,"휴무",sales_logs!$I:$I,FALSE)&gt;0,"휴무",IF(COUNTIFS(sales_logs!$B:$B,$A14,sales_logs!$C:$C,DATE($C$1,$E$1,Q$3),sales_logs!$I:$I,FALSE)=0,"미입력",SUMIFS(sales_logs!$E:$E,sales_logs!$B:$B,$A14,sales_logs!$C:$C,DATE($C$1,$E$1,Q$3),sales_logs!$D:$D,"영업",sales_logs!$I:$I,FALSE)))))))</f>
        <v/>
      </c>
      <c r="R14">
        <f>IF($A14="","",IF(MONTH(DATE($C$1,$E$1,R$3))&lt;&gt;$E$1,"---",IF(DATE($C$1,$E$1,R$3)&gt;TODAY(),"",IF(COUNTIFS(sales_logs!$B:$B,$A14,sales_logs!$C:$C,DATE($C$1,$E$1,R$3),sales_logs!$I:$I,TRUE)&gt;0,"중복확인",IF(COUNTIFS(sales_logs!$B:$B,$A14,sales_logs!$C:$C,DATE($C$1,$E$1,R$3),sales_logs!$D:$D,"휴무",sales_logs!$I:$I,FALSE)&gt;0,"휴무",IF(COUNTIFS(sales_logs!$B:$B,$A14,sales_logs!$C:$C,DATE($C$1,$E$1,R$3),sales_logs!$I:$I,FALSE)=0,"미입력",SUMIFS(sales_logs!$E:$E,sales_logs!$B:$B,$A14,sales_logs!$C:$C,DATE($C$1,$E$1,R$3),sales_logs!$D:$D,"영업",sales_logs!$I:$I,FALSE)))))))</f>
        <v/>
      </c>
      <c r="S14">
        <f>IF($A14="","",IF(MONTH(DATE($C$1,$E$1,S$3))&lt;&gt;$E$1,"---",IF(DATE($C$1,$E$1,S$3)&gt;TODAY(),"",IF(COUNTIFS(sales_logs!$B:$B,$A14,sales_logs!$C:$C,DATE($C$1,$E$1,S$3),sales_logs!$I:$I,TRUE)&gt;0,"중복확인",IF(COUNTIFS(sales_logs!$B:$B,$A14,sales_logs!$C:$C,DATE($C$1,$E$1,S$3),sales_logs!$D:$D,"휴무",sales_logs!$I:$I,FALSE)&gt;0,"휴무",IF(COUNTIFS(sales_logs!$B:$B,$A14,sales_logs!$C:$C,DATE($C$1,$E$1,S$3),sales_logs!$I:$I,FALSE)=0,"미입력",SUMIFS(sales_logs!$E:$E,sales_logs!$B:$B,$A14,sales_logs!$C:$C,DATE($C$1,$E$1,S$3),sales_logs!$D:$D,"영업",sales_logs!$I:$I,FALSE)))))))</f>
        <v/>
      </c>
      <c r="T14">
        <f>IF($A14="","",IF(MONTH(DATE($C$1,$E$1,T$3))&lt;&gt;$E$1,"---",IF(DATE($C$1,$E$1,T$3)&gt;TODAY(),"",IF(COUNTIFS(sales_logs!$B:$B,$A14,sales_logs!$C:$C,DATE($C$1,$E$1,T$3),sales_logs!$I:$I,TRUE)&gt;0,"중복확인",IF(COUNTIFS(sales_logs!$B:$B,$A14,sales_logs!$C:$C,DATE($C$1,$E$1,T$3),sales_logs!$D:$D,"휴무",sales_logs!$I:$I,FALSE)&gt;0,"휴무",IF(COUNTIFS(sales_logs!$B:$B,$A14,sales_logs!$C:$C,DATE($C$1,$E$1,T$3),sales_logs!$I:$I,FALSE)=0,"미입력",SUMIFS(sales_logs!$E:$E,sales_logs!$B:$B,$A14,sales_logs!$C:$C,DATE($C$1,$E$1,T$3),sales_logs!$D:$D,"영업",sales_logs!$I:$I,FALSE)))))))</f>
        <v/>
      </c>
      <c r="U14">
        <f>IF($A14="","",IF(MONTH(DATE($C$1,$E$1,U$3))&lt;&gt;$E$1,"---",IF(DATE($C$1,$E$1,U$3)&gt;TODAY(),"",IF(COUNTIFS(sales_logs!$B:$B,$A14,sales_logs!$C:$C,DATE($C$1,$E$1,U$3),sales_logs!$I:$I,TRUE)&gt;0,"중복확인",IF(COUNTIFS(sales_logs!$B:$B,$A14,sales_logs!$C:$C,DATE($C$1,$E$1,U$3),sales_logs!$D:$D,"휴무",sales_logs!$I:$I,FALSE)&gt;0,"휴무",IF(COUNTIFS(sales_logs!$B:$B,$A14,sales_logs!$C:$C,DATE($C$1,$E$1,U$3),sales_logs!$I:$I,FALSE)=0,"미입력",SUMIFS(sales_logs!$E:$E,sales_logs!$B:$B,$A14,sales_logs!$C:$C,DATE($C$1,$E$1,U$3),sales_logs!$D:$D,"영업",sales_logs!$I:$I,FALSE)))))))</f>
        <v/>
      </c>
      <c r="V14">
        <f>IF($A14="","",IF(MONTH(DATE($C$1,$E$1,V$3))&lt;&gt;$E$1,"---",IF(DATE($C$1,$E$1,V$3)&gt;TODAY(),"",IF(COUNTIFS(sales_logs!$B:$B,$A14,sales_logs!$C:$C,DATE($C$1,$E$1,V$3),sales_logs!$I:$I,TRUE)&gt;0,"중복확인",IF(COUNTIFS(sales_logs!$B:$B,$A14,sales_logs!$C:$C,DATE($C$1,$E$1,V$3),sales_logs!$D:$D,"휴무",sales_logs!$I:$I,FALSE)&gt;0,"휴무",IF(COUNTIFS(sales_logs!$B:$B,$A14,sales_logs!$C:$C,DATE($C$1,$E$1,V$3),sales_logs!$I:$I,FALSE)=0,"미입력",SUMIFS(sales_logs!$E:$E,sales_logs!$B:$B,$A14,sales_logs!$C:$C,DATE($C$1,$E$1,V$3),sales_logs!$D:$D,"영업",sales_logs!$I:$I,FALSE)))))))</f>
        <v/>
      </c>
      <c r="W14">
        <f>IF($A14="","",IF(MONTH(DATE($C$1,$E$1,W$3))&lt;&gt;$E$1,"---",IF(DATE($C$1,$E$1,W$3)&gt;TODAY(),"",IF(COUNTIFS(sales_logs!$B:$B,$A14,sales_logs!$C:$C,DATE($C$1,$E$1,W$3),sales_logs!$I:$I,TRUE)&gt;0,"중복확인",IF(COUNTIFS(sales_logs!$B:$B,$A14,sales_logs!$C:$C,DATE($C$1,$E$1,W$3),sales_logs!$D:$D,"휴무",sales_logs!$I:$I,FALSE)&gt;0,"휴무",IF(COUNTIFS(sales_logs!$B:$B,$A14,sales_logs!$C:$C,DATE($C$1,$E$1,W$3),sales_logs!$I:$I,FALSE)=0,"미입력",SUMIFS(sales_logs!$E:$E,sales_logs!$B:$B,$A14,sales_logs!$C:$C,DATE($C$1,$E$1,W$3),sales_logs!$D:$D,"영업",sales_logs!$I:$I,FALSE)))))))</f>
        <v/>
      </c>
      <c r="X14">
        <f>IF($A14="","",IF(MONTH(DATE($C$1,$E$1,X$3))&lt;&gt;$E$1,"---",IF(DATE($C$1,$E$1,X$3)&gt;TODAY(),"",IF(COUNTIFS(sales_logs!$B:$B,$A14,sales_logs!$C:$C,DATE($C$1,$E$1,X$3),sales_logs!$I:$I,TRUE)&gt;0,"중복확인",IF(COUNTIFS(sales_logs!$B:$B,$A14,sales_logs!$C:$C,DATE($C$1,$E$1,X$3),sales_logs!$D:$D,"휴무",sales_logs!$I:$I,FALSE)&gt;0,"휴무",IF(COUNTIFS(sales_logs!$B:$B,$A14,sales_logs!$C:$C,DATE($C$1,$E$1,X$3),sales_logs!$I:$I,FALSE)=0,"미입력",SUMIFS(sales_logs!$E:$E,sales_logs!$B:$B,$A14,sales_logs!$C:$C,DATE($C$1,$E$1,X$3),sales_logs!$D:$D,"영업",sales_logs!$I:$I,FALSE)))))))</f>
        <v/>
      </c>
      <c r="Y14">
        <f>IF($A14="","",IF(MONTH(DATE($C$1,$E$1,Y$3))&lt;&gt;$E$1,"---",IF(DATE($C$1,$E$1,Y$3)&gt;TODAY(),"",IF(COUNTIFS(sales_logs!$B:$B,$A14,sales_logs!$C:$C,DATE($C$1,$E$1,Y$3),sales_logs!$I:$I,TRUE)&gt;0,"중복확인",IF(COUNTIFS(sales_logs!$B:$B,$A14,sales_logs!$C:$C,DATE($C$1,$E$1,Y$3),sales_logs!$D:$D,"휴무",sales_logs!$I:$I,FALSE)&gt;0,"휴무",IF(COUNTIFS(sales_logs!$B:$B,$A14,sales_logs!$C:$C,DATE($C$1,$E$1,Y$3),sales_logs!$I:$I,FALSE)=0,"미입력",SUMIFS(sales_logs!$E:$E,sales_logs!$B:$B,$A14,sales_logs!$C:$C,DATE($C$1,$E$1,Y$3),sales_logs!$D:$D,"영업",sales_logs!$I:$I,FALSE)))))))</f>
        <v/>
      </c>
      <c r="Z14">
        <f>IF($A14="","",IF(MONTH(DATE($C$1,$E$1,Z$3))&lt;&gt;$E$1,"---",IF(DATE($C$1,$E$1,Z$3)&gt;TODAY(),"",IF(COUNTIFS(sales_logs!$B:$B,$A14,sales_logs!$C:$C,DATE($C$1,$E$1,Z$3),sales_logs!$I:$I,TRUE)&gt;0,"중복확인",IF(COUNTIFS(sales_logs!$B:$B,$A14,sales_logs!$C:$C,DATE($C$1,$E$1,Z$3),sales_logs!$D:$D,"휴무",sales_logs!$I:$I,FALSE)&gt;0,"휴무",IF(COUNTIFS(sales_logs!$B:$B,$A14,sales_logs!$C:$C,DATE($C$1,$E$1,Z$3),sales_logs!$I:$I,FALSE)=0,"미입력",SUMIFS(sales_logs!$E:$E,sales_logs!$B:$B,$A14,sales_logs!$C:$C,DATE($C$1,$E$1,Z$3),sales_logs!$D:$D,"영업",sales_logs!$I:$I,FALSE)))))))</f>
        <v/>
      </c>
      <c r="AA14">
        <f>IF($A14="","",IF(MONTH(DATE($C$1,$E$1,AA$3))&lt;&gt;$E$1,"---",IF(DATE($C$1,$E$1,AA$3)&gt;TODAY(),"",IF(COUNTIFS(sales_logs!$B:$B,$A14,sales_logs!$C:$C,DATE($C$1,$E$1,AA$3),sales_logs!$I:$I,TRUE)&gt;0,"중복확인",IF(COUNTIFS(sales_logs!$B:$B,$A14,sales_logs!$C:$C,DATE($C$1,$E$1,AA$3),sales_logs!$D:$D,"휴무",sales_logs!$I:$I,FALSE)&gt;0,"휴무",IF(COUNTIFS(sales_logs!$B:$B,$A14,sales_logs!$C:$C,DATE($C$1,$E$1,AA$3),sales_logs!$I:$I,FALSE)=0,"미입력",SUMIFS(sales_logs!$E:$E,sales_logs!$B:$B,$A14,sales_logs!$C:$C,DATE($C$1,$E$1,AA$3),sales_logs!$D:$D,"영업",sales_logs!$I:$I,FALSE)))))))</f>
        <v/>
      </c>
      <c r="AB14">
        <f>IF($A14="","",IF(MONTH(DATE($C$1,$E$1,AB$3))&lt;&gt;$E$1,"---",IF(DATE($C$1,$E$1,AB$3)&gt;TODAY(),"",IF(COUNTIFS(sales_logs!$B:$B,$A14,sales_logs!$C:$C,DATE($C$1,$E$1,AB$3),sales_logs!$I:$I,TRUE)&gt;0,"중복확인",IF(COUNTIFS(sales_logs!$B:$B,$A14,sales_logs!$C:$C,DATE($C$1,$E$1,AB$3),sales_logs!$D:$D,"휴무",sales_logs!$I:$I,FALSE)&gt;0,"휴무",IF(COUNTIFS(sales_logs!$B:$B,$A14,sales_logs!$C:$C,DATE($C$1,$E$1,AB$3),sales_logs!$I:$I,FALSE)=0,"미입력",SUMIFS(sales_logs!$E:$E,sales_logs!$B:$B,$A14,sales_logs!$C:$C,DATE($C$1,$E$1,AB$3),sales_logs!$D:$D,"영업",sales_logs!$I:$I,FALSE)))))))</f>
        <v/>
      </c>
      <c r="AC14">
        <f>IF($A14="","",IF(MONTH(DATE($C$1,$E$1,AC$3))&lt;&gt;$E$1,"---",IF(DATE($C$1,$E$1,AC$3)&gt;TODAY(),"",IF(COUNTIFS(sales_logs!$B:$B,$A14,sales_logs!$C:$C,DATE($C$1,$E$1,AC$3),sales_logs!$I:$I,TRUE)&gt;0,"중복확인",IF(COUNTIFS(sales_logs!$B:$B,$A14,sales_logs!$C:$C,DATE($C$1,$E$1,AC$3),sales_logs!$D:$D,"휴무",sales_logs!$I:$I,FALSE)&gt;0,"휴무",IF(COUNTIFS(sales_logs!$B:$B,$A14,sales_logs!$C:$C,DATE($C$1,$E$1,AC$3),sales_logs!$I:$I,FALSE)=0,"미입력",SUMIFS(sales_logs!$E:$E,sales_logs!$B:$B,$A14,sales_logs!$C:$C,DATE($C$1,$E$1,AC$3),sales_logs!$D:$D,"영업",sales_logs!$I:$I,FALSE)))))))</f>
        <v/>
      </c>
      <c r="AD14">
        <f>IF($A14="","",IF(MONTH(DATE($C$1,$E$1,AD$3))&lt;&gt;$E$1,"---",IF(DATE($C$1,$E$1,AD$3)&gt;TODAY(),"",IF(COUNTIFS(sales_logs!$B:$B,$A14,sales_logs!$C:$C,DATE($C$1,$E$1,AD$3),sales_logs!$I:$I,TRUE)&gt;0,"중복확인",IF(COUNTIFS(sales_logs!$B:$B,$A14,sales_logs!$C:$C,DATE($C$1,$E$1,AD$3),sales_logs!$D:$D,"휴무",sales_logs!$I:$I,FALSE)&gt;0,"휴무",IF(COUNTIFS(sales_logs!$B:$B,$A14,sales_logs!$C:$C,DATE($C$1,$E$1,AD$3),sales_logs!$I:$I,FALSE)=0,"미입력",SUMIFS(sales_logs!$E:$E,sales_logs!$B:$B,$A14,sales_logs!$C:$C,DATE($C$1,$E$1,AD$3),sales_logs!$D:$D,"영업",sales_logs!$I:$I,FALSE)))))))</f>
        <v/>
      </c>
      <c r="AE14">
        <f>IF($A14="","",IF(MONTH(DATE($C$1,$E$1,AE$3))&lt;&gt;$E$1,"---",IF(DATE($C$1,$E$1,AE$3)&gt;TODAY(),"",IF(COUNTIFS(sales_logs!$B:$B,$A14,sales_logs!$C:$C,DATE($C$1,$E$1,AE$3),sales_logs!$I:$I,TRUE)&gt;0,"중복확인",IF(COUNTIFS(sales_logs!$B:$B,$A14,sales_logs!$C:$C,DATE($C$1,$E$1,AE$3),sales_logs!$D:$D,"휴무",sales_logs!$I:$I,FALSE)&gt;0,"휴무",IF(COUNTIFS(sales_logs!$B:$B,$A14,sales_logs!$C:$C,DATE($C$1,$E$1,AE$3),sales_logs!$I:$I,FALSE)=0,"미입력",SUMIFS(sales_logs!$E:$E,sales_logs!$B:$B,$A14,sales_logs!$C:$C,DATE($C$1,$E$1,AE$3),sales_logs!$D:$D,"영업",sales_logs!$I:$I,FALSE)))))))</f>
        <v/>
      </c>
      <c r="AF14">
        <f>IF($A14="","",IF(MONTH(DATE($C$1,$E$1,AF$3))&lt;&gt;$E$1,"---",IF(DATE($C$1,$E$1,AF$3)&gt;TODAY(),"",IF(COUNTIFS(sales_logs!$B:$B,$A14,sales_logs!$C:$C,DATE($C$1,$E$1,AF$3),sales_logs!$I:$I,TRUE)&gt;0,"중복확인",IF(COUNTIFS(sales_logs!$B:$B,$A14,sales_logs!$C:$C,DATE($C$1,$E$1,AF$3),sales_logs!$D:$D,"휴무",sales_logs!$I:$I,FALSE)&gt;0,"휴무",IF(COUNTIFS(sales_logs!$B:$B,$A14,sales_logs!$C:$C,DATE($C$1,$E$1,AF$3),sales_logs!$I:$I,FALSE)=0,"미입력",SUMIFS(sales_logs!$E:$E,sales_logs!$B:$B,$A14,sales_logs!$C:$C,DATE($C$1,$E$1,AF$3),sales_logs!$D:$D,"영업",sales_logs!$I:$I,FALSE)))))))</f>
        <v/>
      </c>
      <c r="AG14">
        <f>IF($A14="","",IF(MONTH(DATE($C$1,$E$1,AG$3))&lt;&gt;$E$1,"---",IF(DATE($C$1,$E$1,AG$3)&gt;TODAY(),"",IF(COUNTIFS(sales_logs!$B:$B,$A14,sales_logs!$C:$C,DATE($C$1,$E$1,AG$3),sales_logs!$I:$I,TRUE)&gt;0,"중복확인",IF(COUNTIFS(sales_logs!$B:$B,$A14,sales_logs!$C:$C,DATE($C$1,$E$1,AG$3),sales_logs!$D:$D,"휴무",sales_logs!$I:$I,FALSE)&gt;0,"휴무",IF(COUNTIFS(sales_logs!$B:$B,$A14,sales_logs!$C:$C,DATE($C$1,$E$1,AG$3),sales_logs!$I:$I,FALSE)=0,"미입력",SUMIFS(sales_logs!$E:$E,sales_logs!$B:$B,$A14,sales_logs!$C:$C,DATE($C$1,$E$1,AG$3),sales_logs!$D:$D,"영업",sales_logs!$I:$I,FALSE)))))))</f>
        <v/>
      </c>
      <c r="AH14">
        <f>IF($A14="","",IF(MONTH(DATE($C$1,$E$1,AH$3))&lt;&gt;$E$1,"---",IF(DATE($C$1,$E$1,AH$3)&gt;TODAY(),"",IF(COUNTIFS(sales_logs!$B:$B,$A14,sales_logs!$C:$C,DATE($C$1,$E$1,AH$3),sales_logs!$I:$I,TRUE)&gt;0,"중복확인",IF(COUNTIFS(sales_logs!$B:$B,$A14,sales_logs!$C:$C,DATE($C$1,$E$1,AH$3),sales_logs!$D:$D,"휴무",sales_logs!$I:$I,FALSE)&gt;0,"휴무",IF(COUNTIFS(sales_logs!$B:$B,$A14,sales_logs!$C:$C,DATE($C$1,$E$1,AH$3),sales_logs!$I:$I,FALSE)=0,"미입력",SUMIFS(sales_logs!$E:$E,sales_logs!$B:$B,$A14,sales_logs!$C:$C,DATE($C$1,$E$1,AH$3),sales_logs!$D:$D,"영업",sales_logs!$I:$I,FALSE)))))))</f>
        <v/>
      </c>
      <c r="AI14">
        <f>IF($A14="","",IF(MONTH(DATE($C$1,$E$1,AI$3))&lt;&gt;$E$1,"---",IF(DATE($C$1,$E$1,AI$3)&gt;TODAY(),"",IF(COUNTIFS(sales_logs!$B:$B,$A14,sales_logs!$C:$C,DATE($C$1,$E$1,AI$3),sales_logs!$I:$I,TRUE)&gt;0,"중복확인",IF(COUNTIFS(sales_logs!$B:$B,$A14,sales_logs!$C:$C,DATE($C$1,$E$1,AI$3),sales_logs!$D:$D,"휴무",sales_logs!$I:$I,FALSE)&gt;0,"휴무",IF(COUNTIFS(sales_logs!$B:$B,$A14,sales_logs!$C:$C,DATE($C$1,$E$1,AI$3),sales_logs!$I:$I,FALSE)=0,"미입력",SUMIFS(sales_logs!$E:$E,sales_logs!$B:$B,$A14,sales_logs!$C:$C,DATE($C$1,$E$1,AI$3),sales_logs!$D:$D,"영업",sales_logs!$I:$I,FALSE)))))))</f>
        <v/>
      </c>
      <c r="AJ14">
        <f>IF($A14="","",IF(MONTH(DATE($C$1,$E$1,AJ$3))&lt;&gt;$E$1,"---",IF(DATE($C$1,$E$1,AJ$3)&gt;TODAY(),"",IF(COUNTIFS(sales_logs!$B:$B,$A14,sales_logs!$C:$C,DATE($C$1,$E$1,AJ$3),sales_logs!$I:$I,TRUE)&gt;0,"중복확인",IF(COUNTIFS(sales_logs!$B:$B,$A14,sales_logs!$C:$C,DATE($C$1,$E$1,AJ$3),sales_logs!$D:$D,"휴무",sales_logs!$I:$I,FALSE)&gt;0,"휴무",IF(COUNTIFS(sales_logs!$B:$B,$A14,sales_logs!$C:$C,DATE($C$1,$E$1,AJ$3),sales_logs!$I:$I,FALSE)=0,"미입력",SUMIFS(sales_logs!$E:$E,sales_logs!$B:$B,$A14,sales_logs!$C:$C,DATE($C$1,$E$1,AJ$3),sales_logs!$D:$D,"영업",sales_logs!$I:$I,FALSE)))))))</f>
        <v/>
      </c>
      <c r="AK14">
        <f>IF($A14="","",IF(MONTH(DATE($C$1,$E$1,AK$3))&lt;&gt;$E$1,"---",IF(DATE($C$1,$E$1,AK$3)&gt;TODAY(),"",IF(COUNTIFS(sales_logs!$B:$B,$A14,sales_logs!$C:$C,DATE($C$1,$E$1,AK$3),sales_logs!$I:$I,TRUE)&gt;0,"중복확인",IF(COUNTIFS(sales_logs!$B:$B,$A14,sales_logs!$C:$C,DATE($C$1,$E$1,AK$3),sales_logs!$D:$D,"휴무",sales_logs!$I:$I,FALSE)&gt;0,"휴무",IF(COUNTIFS(sales_logs!$B:$B,$A14,sales_logs!$C:$C,DATE($C$1,$E$1,AK$3),sales_logs!$I:$I,FALSE)=0,"미입력",SUMIFS(sales_logs!$E:$E,sales_logs!$B:$B,$A14,sales_logs!$C:$C,DATE($C$1,$E$1,AK$3),sales_logs!$D:$D,"영업",sales_logs!$I:$I,FALSE)))))))</f>
        <v/>
      </c>
      <c r="AL14">
        <f>IF($A14="","",IF(MONTH(DATE($C$1,$E$1,AL$3))&lt;&gt;$E$1,"---",IF(DATE($C$1,$E$1,AL$3)&gt;TODAY(),"",IF(COUNTIFS(sales_logs!$B:$B,$A14,sales_logs!$C:$C,DATE($C$1,$E$1,AL$3),sales_logs!$I:$I,TRUE)&gt;0,"중복확인",IF(COUNTIFS(sales_logs!$B:$B,$A14,sales_logs!$C:$C,DATE($C$1,$E$1,AL$3),sales_logs!$D:$D,"휴무",sales_logs!$I:$I,FALSE)&gt;0,"휴무",IF(COUNTIFS(sales_logs!$B:$B,$A14,sales_logs!$C:$C,DATE($C$1,$E$1,AL$3),sales_logs!$I:$I,FALSE)=0,"미입력",SUMIFS(sales_logs!$E:$E,sales_logs!$B:$B,$A14,sales_logs!$C:$C,DATE($C$1,$E$1,AL$3),sales_logs!$D:$D,"영업",sales_logs!$I:$I,FALSE)))))))</f>
        <v/>
      </c>
      <c r="AM14">
        <f>IF($A14="","",IF(MONTH(DATE($C$1,$E$1,AM$3))&lt;&gt;$E$1,"---",IF(DATE($C$1,$E$1,AM$3)&gt;TODAY(),"",IF(COUNTIFS(sales_logs!$B:$B,$A14,sales_logs!$C:$C,DATE($C$1,$E$1,AM$3),sales_logs!$I:$I,TRUE)&gt;0,"중복확인",IF(COUNTIFS(sales_logs!$B:$B,$A14,sales_logs!$C:$C,DATE($C$1,$E$1,AM$3),sales_logs!$D:$D,"휴무",sales_logs!$I:$I,FALSE)&gt;0,"휴무",IF(COUNTIFS(sales_logs!$B:$B,$A14,sales_logs!$C:$C,DATE($C$1,$E$1,AM$3),sales_logs!$I:$I,FALSE)=0,"미입력",SUMIFS(sales_logs!$E:$E,sales_logs!$B:$B,$A14,sales_logs!$C:$C,DATE($C$1,$E$1,AM$3),sales_logs!$D:$D,"영업",sales_logs!$I:$I,FALSE)))))))</f>
        <v/>
      </c>
      <c r="AN14">
        <f>IF($A14="","",IF(MONTH(DATE($C$1,$E$1,AN$3))&lt;&gt;$E$1,"---",IF(DATE($C$1,$E$1,AN$3)&gt;TODAY(),"",IF(COUNTIFS(sales_logs!$B:$B,$A14,sales_logs!$C:$C,DATE($C$1,$E$1,AN$3),sales_logs!$I:$I,TRUE)&gt;0,"중복확인",IF(COUNTIFS(sales_logs!$B:$B,$A14,sales_logs!$C:$C,DATE($C$1,$E$1,AN$3),sales_logs!$D:$D,"휴무",sales_logs!$I:$I,FALSE)&gt;0,"휴무",IF(COUNTIFS(sales_logs!$B:$B,$A14,sales_logs!$C:$C,DATE($C$1,$E$1,AN$3),sales_logs!$I:$I,FALSE)=0,"미입력",SUMIFS(sales_logs!$E:$E,sales_logs!$B:$B,$A14,sales_logs!$C:$C,DATE($C$1,$E$1,AN$3),sales_logs!$D:$D,"영업",sales_logs!$I:$I,FALSE)))))))</f>
        <v/>
      </c>
      <c r="AO14">
        <f>IF($A14="","",IF(MONTH(DATE($C$1,$E$1,AO$3))&lt;&gt;$E$1,"---",IF(DATE($C$1,$E$1,AO$3)&gt;TODAY(),"",IF(COUNTIFS(sales_logs!$B:$B,$A14,sales_logs!$C:$C,DATE($C$1,$E$1,AO$3),sales_logs!$I:$I,TRUE)&gt;0,"중복확인",IF(COUNTIFS(sales_logs!$B:$B,$A14,sales_logs!$C:$C,DATE($C$1,$E$1,AO$3),sales_logs!$D:$D,"휴무",sales_logs!$I:$I,FALSE)&gt;0,"휴무",IF(COUNTIFS(sales_logs!$B:$B,$A14,sales_logs!$C:$C,DATE($C$1,$E$1,AO$3),sales_logs!$I:$I,FALSE)=0,"미입력",SUMIFS(sales_logs!$E:$E,sales_logs!$B:$B,$A14,sales_logs!$C:$C,DATE($C$1,$E$1,AO$3),sales_logs!$D:$D,"영업",sales_logs!$I:$I,FALSE)))))))</f>
        <v/>
      </c>
    </row>
    <row r="15">
      <c r="A15">
        <f>IFERROR(INDEX(FILTER(stores!$A$2:$A,stores!$G$2:$G="active"),ROW()-3),"")</f>
        <v/>
      </c>
      <c r="B15">
        <f>IF($A15="","",VLOOKUP($A15,stores!$A:$B,2,0))</f>
        <v/>
      </c>
      <c r="C15">
        <f>IF($A15="","",VLOOKUP($A15,stores!$A:$C,3,0))</f>
        <v/>
      </c>
      <c r="D15">
        <f>IF($A15="","",IF(DATE($C$1,$E$1,1)&gt;TODAY(),0,IFERROR(COUNTUNIQUE(FILTER(sales_logs!$C$2:$C$1000,sales_logs!$B$2:$B$1000=$A15,sales_logs!$C$2:$C$1000&gt;=DATE($C$1,$E$1,1),sales_logs!$C$2:$C$1000&lt;=MIN(TODAY(),EOMONTH(DATE($C$1,$E$1,1),0)),sales_logs!$I$2:$I$1000=FALSE))/DAY(MIN(TODAY(),EOMONTH(DATE($C$1,$E$1,1),0))),0)))</f>
        <v/>
      </c>
      <c r="E15">
        <f>IF($A15="","",IF(DATE($C$1,$E$1,1)&gt;TODAY(),0,DAY(MIN(TODAY(),EOMONTH(DATE($C$1,$E$1,1),0)))-IFERROR(COUNTUNIQUE(FILTER(sales_logs!$C$2:$C$1000,sales_logs!$B$2:$B$1000=$A15,sales_logs!$C$2:$C$1000&gt;=DATE($C$1,$E$1,1),sales_logs!$C$2:$C$1000&lt;=MIN(TODAY(),EOMONTH(DATE($C$1,$E$1,1),0)),sales_logs!$I$2:$I$1000=FALSE)),0)))</f>
        <v/>
      </c>
      <c r="F15">
        <f>IF($A15="","",COUNTIFS(sales_logs!$B:$B,$A15,sales_logs!$C:$C,"&gt;="&amp;DATE($C$1,$E$1,1),sales_logs!$C:$C,"&lt;="&amp;EOMONTH(DATE($C$1,$E$1,1),0),sales_logs!$D:$D,"휴무",sales_logs!$I:$I,FALSE))</f>
        <v/>
      </c>
      <c r="G15">
        <f>IF($A15="","",COUNTIFS(sales_logs!$B:$B,$A15,sales_logs!$C:$C,"&gt;="&amp;DATE($C$1,$E$1,1),sales_logs!$C:$C,"&lt;="&amp;EOMONTH(DATE($C$1,$E$1,1),0),sales_logs!$D:$D,"영업",sales_logs!$I:$I,FALSE))</f>
        <v/>
      </c>
      <c r="H15">
        <f>IF($A15="","",SUMIFS(sales_logs!$E:$E,sales_logs!$B:$B,$A15,sales_logs!$C:$C,"&gt;="&amp;DATE($C$1,$E$1,1),sales_logs!$C:$C,"&lt;="&amp;EOMONTH(DATE($C$1,$E$1,1),0),sales_logs!$D:$D,"영업",sales_logs!$I:$I,FALSE))</f>
        <v/>
      </c>
      <c r="I15">
        <f>IF(OR($A15="",G15=0),"",H15/G15)</f>
        <v/>
      </c>
      <c r="J15">
        <f>IF($A15="","",LET(cur_end, MIN(TODAY(),EOMONTH(DATE($C$1,$E$1,1),0)),cmp_day, DAY(cur_end),prev_start, DATE($C$1,$E$1-1,1),prev_end, MIN(DATE($C$1,$E$1-1,cmp_day),EOMONTH(DATE($C$1,$E$1-1,1),0)),cur_sales, SUMIFS(sales_logs!$E:$E,sales_logs!$B:$B,$A15,sales_logs!$C:$C,"&gt;="&amp;DATE($C$1,$E$1,1),sales_logs!$C:$C,"&lt;="&amp;cur_end,sales_logs!$D:$D,"영업",sales_logs!$I:$I,FALSE),prev_sales, SUMIFS(sales_logs!$E:$E,sales_logs!$B:$B,$A15,sales_logs!$C:$C,"&gt;="&amp;prev_start,sales_logs!$C:$C,"&lt;="&amp;prev_end,sales_logs!$D:$D,"영업",sales_logs!$I:$I,FALSE),IF(prev_sales=0,"데이터부족",(cur_sales-prev_sales)/prev_sales)))</f>
        <v/>
      </c>
      <c r="K15">
        <f>IF($A15="","",IF(MONTH(DATE($C$1,$E$1,K$3))&lt;&gt;$E$1,"---",IF(DATE($C$1,$E$1,K$3)&gt;TODAY(),"",IF(COUNTIFS(sales_logs!$B:$B,$A15,sales_logs!$C:$C,DATE($C$1,$E$1,K$3),sales_logs!$I:$I,TRUE)&gt;0,"중복확인",IF(COUNTIFS(sales_logs!$B:$B,$A15,sales_logs!$C:$C,DATE($C$1,$E$1,K$3),sales_logs!$D:$D,"휴무",sales_logs!$I:$I,FALSE)&gt;0,"휴무",IF(COUNTIFS(sales_logs!$B:$B,$A15,sales_logs!$C:$C,DATE($C$1,$E$1,K$3),sales_logs!$I:$I,FALSE)=0,"미입력",SUMIFS(sales_logs!$E:$E,sales_logs!$B:$B,$A15,sales_logs!$C:$C,DATE($C$1,$E$1,K$3),sales_logs!$D:$D,"영업",sales_logs!$I:$I,FALSE)))))))</f>
        <v/>
      </c>
      <c r="L15">
        <f>IF($A15="","",IF(MONTH(DATE($C$1,$E$1,L$3))&lt;&gt;$E$1,"---",IF(DATE($C$1,$E$1,L$3)&gt;TODAY(),"",IF(COUNTIFS(sales_logs!$B:$B,$A15,sales_logs!$C:$C,DATE($C$1,$E$1,L$3),sales_logs!$I:$I,TRUE)&gt;0,"중복확인",IF(COUNTIFS(sales_logs!$B:$B,$A15,sales_logs!$C:$C,DATE($C$1,$E$1,L$3),sales_logs!$D:$D,"휴무",sales_logs!$I:$I,FALSE)&gt;0,"휴무",IF(COUNTIFS(sales_logs!$B:$B,$A15,sales_logs!$C:$C,DATE($C$1,$E$1,L$3),sales_logs!$I:$I,FALSE)=0,"미입력",SUMIFS(sales_logs!$E:$E,sales_logs!$B:$B,$A15,sales_logs!$C:$C,DATE($C$1,$E$1,L$3),sales_logs!$D:$D,"영업",sales_logs!$I:$I,FALSE)))))))</f>
        <v/>
      </c>
      <c r="M15">
        <f>IF($A15="","",IF(MONTH(DATE($C$1,$E$1,M$3))&lt;&gt;$E$1,"---",IF(DATE($C$1,$E$1,M$3)&gt;TODAY(),"",IF(COUNTIFS(sales_logs!$B:$B,$A15,sales_logs!$C:$C,DATE($C$1,$E$1,M$3),sales_logs!$I:$I,TRUE)&gt;0,"중복확인",IF(COUNTIFS(sales_logs!$B:$B,$A15,sales_logs!$C:$C,DATE($C$1,$E$1,M$3),sales_logs!$D:$D,"휴무",sales_logs!$I:$I,FALSE)&gt;0,"휴무",IF(COUNTIFS(sales_logs!$B:$B,$A15,sales_logs!$C:$C,DATE($C$1,$E$1,M$3),sales_logs!$I:$I,FALSE)=0,"미입력",SUMIFS(sales_logs!$E:$E,sales_logs!$B:$B,$A15,sales_logs!$C:$C,DATE($C$1,$E$1,M$3),sales_logs!$D:$D,"영업",sales_logs!$I:$I,FALSE)))))))</f>
        <v/>
      </c>
      <c r="N15">
        <f>IF($A15="","",IF(MONTH(DATE($C$1,$E$1,N$3))&lt;&gt;$E$1,"---",IF(DATE($C$1,$E$1,N$3)&gt;TODAY(),"",IF(COUNTIFS(sales_logs!$B:$B,$A15,sales_logs!$C:$C,DATE($C$1,$E$1,N$3),sales_logs!$I:$I,TRUE)&gt;0,"중복확인",IF(COUNTIFS(sales_logs!$B:$B,$A15,sales_logs!$C:$C,DATE($C$1,$E$1,N$3),sales_logs!$D:$D,"휴무",sales_logs!$I:$I,FALSE)&gt;0,"휴무",IF(COUNTIFS(sales_logs!$B:$B,$A15,sales_logs!$C:$C,DATE($C$1,$E$1,N$3),sales_logs!$I:$I,FALSE)=0,"미입력",SUMIFS(sales_logs!$E:$E,sales_logs!$B:$B,$A15,sales_logs!$C:$C,DATE($C$1,$E$1,N$3),sales_logs!$D:$D,"영업",sales_logs!$I:$I,FALSE)))))))</f>
        <v/>
      </c>
      <c r="O15">
        <f>IF($A15="","",IF(MONTH(DATE($C$1,$E$1,O$3))&lt;&gt;$E$1,"---",IF(DATE($C$1,$E$1,O$3)&gt;TODAY(),"",IF(COUNTIFS(sales_logs!$B:$B,$A15,sales_logs!$C:$C,DATE($C$1,$E$1,O$3),sales_logs!$I:$I,TRUE)&gt;0,"중복확인",IF(COUNTIFS(sales_logs!$B:$B,$A15,sales_logs!$C:$C,DATE($C$1,$E$1,O$3),sales_logs!$D:$D,"휴무",sales_logs!$I:$I,FALSE)&gt;0,"휴무",IF(COUNTIFS(sales_logs!$B:$B,$A15,sales_logs!$C:$C,DATE($C$1,$E$1,O$3),sales_logs!$I:$I,FALSE)=0,"미입력",SUMIFS(sales_logs!$E:$E,sales_logs!$B:$B,$A15,sales_logs!$C:$C,DATE($C$1,$E$1,O$3),sales_logs!$D:$D,"영업",sales_logs!$I:$I,FALSE)))))))</f>
        <v/>
      </c>
      <c r="P15">
        <f>IF($A15="","",IF(MONTH(DATE($C$1,$E$1,P$3))&lt;&gt;$E$1,"---",IF(DATE($C$1,$E$1,P$3)&gt;TODAY(),"",IF(COUNTIFS(sales_logs!$B:$B,$A15,sales_logs!$C:$C,DATE($C$1,$E$1,P$3),sales_logs!$I:$I,TRUE)&gt;0,"중복확인",IF(COUNTIFS(sales_logs!$B:$B,$A15,sales_logs!$C:$C,DATE($C$1,$E$1,P$3),sales_logs!$D:$D,"휴무",sales_logs!$I:$I,FALSE)&gt;0,"휴무",IF(COUNTIFS(sales_logs!$B:$B,$A15,sales_logs!$C:$C,DATE($C$1,$E$1,P$3),sales_logs!$I:$I,FALSE)=0,"미입력",SUMIFS(sales_logs!$E:$E,sales_logs!$B:$B,$A15,sales_logs!$C:$C,DATE($C$1,$E$1,P$3),sales_logs!$D:$D,"영업",sales_logs!$I:$I,FALSE)))))))</f>
        <v/>
      </c>
      <c r="Q15">
        <f>IF($A15="","",IF(MONTH(DATE($C$1,$E$1,Q$3))&lt;&gt;$E$1,"---",IF(DATE($C$1,$E$1,Q$3)&gt;TODAY(),"",IF(COUNTIFS(sales_logs!$B:$B,$A15,sales_logs!$C:$C,DATE($C$1,$E$1,Q$3),sales_logs!$I:$I,TRUE)&gt;0,"중복확인",IF(COUNTIFS(sales_logs!$B:$B,$A15,sales_logs!$C:$C,DATE($C$1,$E$1,Q$3),sales_logs!$D:$D,"휴무",sales_logs!$I:$I,FALSE)&gt;0,"휴무",IF(COUNTIFS(sales_logs!$B:$B,$A15,sales_logs!$C:$C,DATE($C$1,$E$1,Q$3),sales_logs!$I:$I,FALSE)=0,"미입력",SUMIFS(sales_logs!$E:$E,sales_logs!$B:$B,$A15,sales_logs!$C:$C,DATE($C$1,$E$1,Q$3),sales_logs!$D:$D,"영업",sales_logs!$I:$I,FALSE)))))))</f>
        <v/>
      </c>
      <c r="R15">
        <f>IF($A15="","",IF(MONTH(DATE($C$1,$E$1,R$3))&lt;&gt;$E$1,"---",IF(DATE($C$1,$E$1,R$3)&gt;TODAY(),"",IF(COUNTIFS(sales_logs!$B:$B,$A15,sales_logs!$C:$C,DATE($C$1,$E$1,R$3),sales_logs!$I:$I,TRUE)&gt;0,"중복확인",IF(COUNTIFS(sales_logs!$B:$B,$A15,sales_logs!$C:$C,DATE($C$1,$E$1,R$3),sales_logs!$D:$D,"휴무",sales_logs!$I:$I,FALSE)&gt;0,"휴무",IF(COUNTIFS(sales_logs!$B:$B,$A15,sales_logs!$C:$C,DATE($C$1,$E$1,R$3),sales_logs!$I:$I,FALSE)=0,"미입력",SUMIFS(sales_logs!$E:$E,sales_logs!$B:$B,$A15,sales_logs!$C:$C,DATE($C$1,$E$1,R$3),sales_logs!$D:$D,"영업",sales_logs!$I:$I,FALSE)))))))</f>
        <v/>
      </c>
      <c r="S15">
        <f>IF($A15="","",IF(MONTH(DATE($C$1,$E$1,S$3))&lt;&gt;$E$1,"---",IF(DATE($C$1,$E$1,S$3)&gt;TODAY(),"",IF(COUNTIFS(sales_logs!$B:$B,$A15,sales_logs!$C:$C,DATE($C$1,$E$1,S$3),sales_logs!$I:$I,TRUE)&gt;0,"중복확인",IF(COUNTIFS(sales_logs!$B:$B,$A15,sales_logs!$C:$C,DATE($C$1,$E$1,S$3),sales_logs!$D:$D,"휴무",sales_logs!$I:$I,FALSE)&gt;0,"휴무",IF(COUNTIFS(sales_logs!$B:$B,$A15,sales_logs!$C:$C,DATE($C$1,$E$1,S$3),sales_logs!$I:$I,FALSE)=0,"미입력",SUMIFS(sales_logs!$E:$E,sales_logs!$B:$B,$A15,sales_logs!$C:$C,DATE($C$1,$E$1,S$3),sales_logs!$D:$D,"영업",sales_logs!$I:$I,FALSE)))))))</f>
        <v/>
      </c>
      <c r="T15">
        <f>IF($A15="","",IF(MONTH(DATE($C$1,$E$1,T$3))&lt;&gt;$E$1,"---",IF(DATE($C$1,$E$1,T$3)&gt;TODAY(),"",IF(COUNTIFS(sales_logs!$B:$B,$A15,sales_logs!$C:$C,DATE($C$1,$E$1,T$3),sales_logs!$I:$I,TRUE)&gt;0,"중복확인",IF(COUNTIFS(sales_logs!$B:$B,$A15,sales_logs!$C:$C,DATE($C$1,$E$1,T$3),sales_logs!$D:$D,"휴무",sales_logs!$I:$I,FALSE)&gt;0,"휴무",IF(COUNTIFS(sales_logs!$B:$B,$A15,sales_logs!$C:$C,DATE($C$1,$E$1,T$3),sales_logs!$I:$I,FALSE)=0,"미입력",SUMIFS(sales_logs!$E:$E,sales_logs!$B:$B,$A15,sales_logs!$C:$C,DATE($C$1,$E$1,T$3),sales_logs!$D:$D,"영업",sales_logs!$I:$I,FALSE)))))))</f>
        <v/>
      </c>
      <c r="U15">
        <f>IF($A15="","",IF(MONTH(DATE($C$1,$E$1,U$3))&lt;&gt;$E$1,"---",IF(DATE($C$1,$E$1,U$3)&gt;TODAY(),"",IF(COUNTIFS(sales_logs!$B:$B,$A15,sales_logs!$C:$C,DATE($C$1,$E$1,U$3),sales_logs!$I:$I,TRUE)&gt;0,"중복확인",IF(COUNTIFS(sales_logs!$B:$B,$A15,sales_logs!$C:$C,DATE($C$1,$E$1,U$3),sales_logs!$D:$D,"휴무",sales_logs!$I:$I,FALSE)&gt;0,"휴무",IF(COUNTIFS(sales_logs!$B:$B,$A15,sales_logs!$C:$C,DATE($C$1,$E$1,U$3),sales_logs!$I:$I,FALSE)=0,"미입력",SUMIFS(sales_logs!$E:$E,sales_logs!$B:$B,$A15,sales_logs!$C:$C,DATE($C$1,$E$1,U$3),sales_logs!$D:$D,"영업",sales_logs!$I:$I,FALSE)))))))</f>
        <v/>
      </c>
      <c r="V15">
        <f>IF($A15="","",IF(MONTH(DATE($C$1,$E$1,V$3))&lt;&gt;$E$1,"---",IF(DATE($C$1,$E$1,V$3)&gt;TODAY(),"",IF(COUNTIFS(sales_logs!$B:$B,$A15,sales_logs!$C:$C,DATE($C$1,$E$1,V$3),sales_logs!$I:$I,TRUE)&gt;0,"중복확인",IF(COUNTIFS(sales_logs!$B:$B,$A15,sales_logs!$C:$C,DATE($C$1,$E$1,V$3),sales_logs!$D:$D,"휴무",sales_logs!$I:$I,FALSE)&gt;0,"휴무",IF(COUNTIFS(sales_logs!$B:$B,$A15,sales_logs!$C:$C,DATE($C$1,$E$1,V$3),sales_logs!$I:$I,FALSE)=0,"미입력",SUMIFS(sales_logs!$E:$E,sales_logs!$B:$B,$A15,sales_logs!$C:$C,DATE($C$1,$E$1,V$3),sales_logs!$D:$D,"영업",sales_logs!$I:$I,FALSE)))))))</f>
        <v/>
      </c>
      <c r="W15">
        <f>IF($A15="","",IF(MONTH(DATE($C$1,$E$1,W$3))&lt;&gt;$E$1,"---",IF(DATE($C$1,$E$1,W$3)&gt;TODAY(),"",IF(COUNTIFS(sales_logs!$B:$B,$A15,sales_logs!$C:$C,DATE($C$1,$E$1,W$3),sales_logs!$I:$I,TRUE)&gt;0,"중복확인",IF(COUNTIFS(sales_logs!$B:$B,$A15,sales_logs!$C:$C,DATE($C$1,$E$1,W$3),sales_logs!$D:$D,"휴무",sales_logs!$I:$I,FALSE)&gt;0,"휴무",IF(COUNTIFS(sales_logs!$B:$B,$A15,sales_logs!$C:$C,DATE($C$1,$E$1,W$3),sales_logs!$I:$I,FALSE)=0,"미입력",SUMIFS(sales_logs!$E:$E,sales_logs!$B:$B,$A15,sales_logs!$C:$C,DATE($C$1,$E$1,W$3),sales_logs!$D:$D,"영업",sales_logs!$I:$I,FALSE)))))))</f>
        <v/>
      </c>
      <c r="X15">
        <f>IF($A15="","",IF(MONTH(DATE($C$1,$E$1,X$3))&lt;&gt;$E$1,"---",IF(DATE($C$1,$E$1,X$3)&gt;TODAY(),"",IF(COUNTIFS(sales_logs!$B:$B,$A15,sales_logs!$C:$C,DATE($C$1,$E$1,X$3),sales_logs!$I:$I,TRUE)&gt;0,"중복확인",IF(COUNTIFS(sales_logs!$B:$B,$A15,sales_logs!$C:$C,DATE($C$1,$E$1,X$3),sales_logs!$D:$D,"휴무",sales_logs!$I:$I,FALSE)&gt;0,"휴무",IF(COUNTIFS(sales_logs!$B:$B,$A15,sales_logs!$C:$C,DATE($C$1,$E$1,X$3),sales_logs!$I:$I,FALSE)=0,"미입력",SUMIFS(sales_logs!$E:$E,sales_logs!$B:$B,$A15,sales_logs!$C:$C,DATE($C$1,$E$1,X$3),sales_logs!$D:$D,"영업",sales_logs!$I:$I,FALSE)))))))</f>
        <v/>
      </c>
      <c r="Y15">
        <f>IF($A15="","",IF(MONTH(DATE($C$1,$E$1,Y$3))&lt;&gt;$E$1,"---",IF(DATE($C$1,$E$1,Y$3)&gt;TODAY(),"",IF(COUNTIFS(sales_logs!$B:$B,$A15,sales_logs!$C:$C,DATE($C$1,$E$1,Y$3),sales_logs!$I:$I,TRUE)&gt;0,"중복확인",IF(COUNTIFS(sales_logs!$B:$B,$A15,sales_logs!$C:$C,DATE($C$1,$E$1,Y$3),sales_logs!$D:$D,"휴무",sales_logs!$I:$I,FALSE)&gt;0,"휴무",IF(COUNTIFS(sales_logs!$B:$B,$A15,sales_logs!$C:$C,DATE($C$1,$E$1,Y$3),sales_logs!$I:$I,FALSE)=0,"미입력",SUMIFS(sales_logs!$E:$E,sales_logs!$B:$B,$A15,sales_logs!$C:$C,DATE($C$1,$E$1,Y$3),sales_logs!$D:$D,"영업",sales_logs!$I:$I,FALSE)))))))</f>
        <v/>
      </c>
      <c r="Z15">
        <f>IF($A15="","",IF(MONTH(DATE($C$1,$E$1,Z$3))&lt;&gt;$E$1,"---",IF(DATE($C$1,$E$1,Z$3)&gt;TODAY(),"",IF(COUNTIFS(sales_logs!$B:$B,$A15,sales_logs!$C:$C,DATE($C$1,$E$1,Z$3),sales_logs!$I:$I,TRUE)&gt;0,"중복확인",IF(COUNTIFS(sales_logs!$B:$B,$A15,sales_logs!$C:$C,DATE($C$1,$E$1,Z$3),sales_logs!$D:$D,"휴무",sales_logs!$I:$I,FALSE)&gt;0,"휴무",IF(COUNTIFS(sales_logs!$B:$B,$A15,sales_logs!$C:$C,DATE($C$1,$E$1,Z$3),sales_logs!$I:$I,FALSE)=0,"미입력",SUMIFS(sales_logs!$E:$E,sales_logs!$B:$B,$A15,sales_logs!$C:$C,DATE($C$1,$E$1,Z$3),sales_logs!$D:$D,"영업",sales_logs!$I:$I,FALSE)))))))</f>
        <v/>
      </c>
      <c r="AA15">
        <f>IF($A15="","",IF(MONTH(DATE($C$1,$E$1,AA$3))&lt;&gt;$E$1,"---",IF(DATE($C$1,$E$1,AA$3)&gt;TODAY(),"",IF(COUNTIFS(sales_logs!$B:$B,$A15,sales_logs!$C:$C,DATE($C$1,$E$1,AA$3),sales_logs!$I:$I,TRUE)&gt;0,"중복확인",IF(COUNTIFS(sales_logs!$B:$B,$A15,sales_logs!$C:$C,DATE($C$1,$E$1,AA$3),sales_logs!$D:$D,"휴무",sales_logs!$I:$I,FALSE)&gt;0,"휴무",IF(COUNTIFS(sales_logs!$B:$B,$A15,sales_logs!$C:$C,DATE($C$1,$E$1,AA$3),sales_logs!$I:$I,FALSE)=0,"미입력",SUMIFS(sales_logs!$E:$E,sales_logs!$B:$B,$A15,sales_logs!$C:$C,DATE($C$1,$E$1,AA$3),sales_logs!$D:$D,"영업",sales_logs!$I:$I,FALSE)))))))</f>
        <v/>
      </c>
      <c r="AB15">
        <f>IF($A15="","",IF(MONTH(DATE($C$1,$E$1,AB$3))&lt;&gt;$E$1,"---",IF(DATE($C$1,$E$1,AB$3)&gt;TODAY(),"",IF(COUNTIFS(sales_logs!$B:$B,$A15,sales_logs!$C:$C,DATE($C$1,$E$1,AB$3),sales_logs!$I:$I,TRUE)&gt;0,"중복확인",IF(COUNTIFS(sales_logs!$B:$B,$A15,sales_logs!$C:$C,DATE($C$1,$E$1,AB$3),sales_logs!$D:$D,"휴무",sales_logs!$I:$I,FALSE)&gt;0,"휴무",IF(COUNTIFS(sales_logs!$B:$B,$A15,sales_logs!$C:$C,DATE($C$1,$E$1,AB$3),sales_logs!$I:$I,FALSE)=0,"미입력",SUMIFS(sales_logs!$E:$E,sales_logs!$B:$B,$A15,sales_logs!$C:$C,DATE($C$1,$E$1,AB$3),sales_logs!$D:$D,"영업",sales_logs!$I:$I,FALSE)))))))</f>
        <v/>
      </c>
      <c r="AC15">
        <f>IF($A15="","",IF(MONTH(DATE($C$1,$E$1,AC$3))&lt;&gt;$E$1,"---",IF(DATE($C$1,$E$1,AC$3)&gt;TODAY(),"",IF(COUNTIFS(sales_logs!$B:$B,$A15,sales_logs!$C:$C,DATE($C$1,$E$1,AC$3),sales_logs!$I:$I,TRUE)&gt;0,"중복확인",IF(COUNTIFS(sales_logs!$B:$B,$A15,sales_logs!$C:$C,DATE($C$1,$E$1,AC$3),sales_logs!$D:$D,"휴무",sales_logs!$I:$I,FALSE)&gt;0,"휴무",IF(COUNTIFS(sales_logs!$B:$B,$A15,sales_logs!$C:$C,DATE($C$1,$E$1,AC$3),sales_logs!$I:$I,FALSE)=0,"미입력",SUMIFS(sales_logs!$E:$E,sales_logs!$B:$B,$A15,sales_logs!$C:$C,DATE($C$1,$E$1,AC$3),sales_logs!$D:$D,"영업",sales_logs!$I:$I,FALSE)))))))</f>
        <v/>
      </c>
      <c r="AD15">
        <f>IF($A15="","",IF(MONTH(DATE($C$1,$E$1,AD$3))&lt;&gt;$E$1,"---",IF(DATE($C$1,$E$1,AD$3)&gt;TODAY(),"",IF(COUNTIFS(sales_logs!$B:$B,$A15,sales_logs!$C:$C,DATE($C$1,$E$1,AD$3),sales_logs!$I:$I,TRUE)&gt;0,"중복확인",IF(COUNTIFS(sales_logs!$B:$B,$A15,sales_logs!$C:$C,DATE($C$1,$E$1,AD$3),sales_logs!$D:$D,"휴무",sales_logs!$I:$I,FALSE)&gt;0,"휴무",IF(COUNTIFS(sales_logs!$B:$B,$A15,sales_logs!$C:$C,DATE($C$1,$E$1,AD$3),sales_logs!$I:$I,FALSE)=0,"미입력",SUMIFS(sales_logs!$E:$E,sales_logs!$B:$B,$A15,sales_logs!$C:$C,DATE($C$1,$E$1,AD$3),sales_logs!$D:$D,"영업",sales_logs!$I:$I,FALSE)))))))</f>
        <v/>
      </c>
      <c r="AE15">
        <f>IF($A15="","",IF(MONTH(DATE($C$1,$E$1,AE$3))&lt;&gt;$E$1,"---",IF(DATE($C$1,$E$1,AE$3)&gt;TODAY(),"",IF(COUNTIFS(sales_logs!$B:$B,$A15,sales_logs!$C:$C,DATE($C$1,$E$1,AE$3),sales_logs!$I:$I,TRUE)&gt;0,"중복확인",IF(COUNTIFS(sales_logs!$B:$B,$A15,sales_logs!$C:$C,DATE($C$1,$E$1,AE$3),sales_logs!$D:$D,"휴무",sales_logs!$I:$I,FALSE)&gt;0,"휴무",IF(COUNTIFS(sales_logs!$B:$B,$A15,sales_logs!$C:$C,DATE($C$1,$E$1,AE$3),sales_logs!$I:$I,FALSE)=0,"미입력",SUMIFS(sales_logs!$E:$E,sales_logs!$B:$B,$A15,sales_logs!$C:$C,DATE($C$1,$E$1,AE$3),sales_logs!$D:$D,"영업",sales_logs!$I:$I,FALSE)))))))</f>
        <v/>
      </c>
      <c r="AF15">
        <f>IF($A15="","",IF(MONTH(DATE($C$1,$E$1,AF$3))&lt;&gt;$E$1,"---",IF(DATE($C$1,$E$1,AF$3)&gt;TODAY(),"",IF(COUNTIFS(sales_logs!$B:$B,$A15,sales_logs!$C:$C,DATE($C$1,$E$1,AF$3),sales_logs!$I:$I,TRUE)&gt;0,"중복확인",IF(COUNTIFS(sales_logs!$B:$B,$A15,sales_logs!$C:$C,DATE($C$1,$E$1,AF$3),sales_logs!$D:$D,"휴무",sales_logs!$I:$I,FALSE)&gt;0,"휴무",IF(COUNTIFS(sales_logs!$B:$B,$A15,sales_logs!$C:$C,DATE($C$1,$E$1,AF$3),sales_logs!$I:$I,FALSE)=0,"미입력",SUMIFS(sales_logs!$E:$E,sales_logs!$B:$B,$A15,sales_logs!$C:$C,DATE($C$1,$E$1,AF$3),sales_logs!$D:$D,"영업",sales_logs!$I:$I,FALSE)))))))</f>
        <v/>
      </c>
      <c r="AG15">
        <f>IF($A15="","",IF(MONTH(DATE($C$1,$E$1,AG$3))&lt;&gt;$E$1,"---",IF(DATE($C$1,$E$1,AG$3)&gt;TODAY(),"",IF(COUNTIFS(sales_logs!$B:$B,$A15,sales_logs!$C:$C,DATE($C$1,$E$1,AG$3),sales_logs!$I:$I,TRUE)&gt;0,"중복확인",IF(COUNTIFS(sales_logs!$B:$B,$A15,sales_logs!$C:$C,DATE($C$1,$E$1,AG$3),sales_logs!$D:$D,"휴무",sales_logs!$I:$I,FALSE)&gt;0,"휴무",IF(COUNTIFS(sales_logs!$B:$B,$A15,sales_logs!$C:$C,DATE($C$1,$E$1,AG$3),sales_logs!$I:$I,FALSE)=0,"미입력",SUMIFS(sales_logs!$E:$E,sales_logs!$B:$B,$A15,sales_logs!$C:$C,DATE($C$1,$E$1,AG$3),sales_logs!$D:$D,"영업",sales_logs!$I:$I,FALSE)))))))</f>
        <v/>
      </c>
      <c r="AH15">
        <f>IF($A15="","",IF(MONTH(DATE($C$1,$E$1,AH$3))&lt;&gt;$E$1,"---",IF(DATE($C$1,$E$1,AH$3)&gt;TODAY(),"",IF(COUNTIFS(sales_logs!$B:$B,$A15,sales_logs!$C:$C,DATE($C$1,$E$1,AH$3),sales_logs!$I:$I,TRUE)&gt;0,"중복확인",IF(COUNTIFS(sales_logs!$B:$B,$A15,sales_logs!$C:$C,DATE($C$1,$E$1,AH$3),sales_logs!$D:$D,"휴무",sales_logs!$I:$I,FALSE)&gt;0,"휴무",IF(COUNTIFS(sales_logs!$B:$B,$A15,sales_logs!$C:$C,DATE($C$1,$E$1,AH$3),sales_logs!$I:$I,FALSE)=0,"미입력",SUMIFS(sales_logs!$E:$E,sales_logs!$B:$B,$A15,sales_logs!$C:$C,DATE($C$1,$E$1,AH$3),sales_logs!$D:$D,"영업",sales_logs!$I:$I,FALSE)))))))</f>
        <v/>
      </c>
      <c r="AI15">
        <f>IF($A15="","",IF(MONTH(DATE($C$1,$E$1,AI$3))&lt;&gt;$E$1,"---",IF(DATE($C$1,$E$1,AI$3)&gt;TODAY(),"",IF(COUNTIFS(sales_logs!$B:$B,$A15,sales_logs!$C:$C,DATE($C$1,$E$1,AI$3),sales_logs!$I:$I,TRUE)&gt;0,"중복확인",IF(COUNTIFS(sales_logs!$B:$B,$A15,sales_logs!$C:$C,DATE($C$1,$E$1,AI$3),sales_logs!$D:$D,"휴무",sales_logs!$I:$I,FALSE)&gt;0,"휴무",IF(COUNTIFS(sales_logs!$B:$B,$A15,sales_logs!$C:$C,DATE($C$1,$E$1,AI$3),sales_logs!$I:$I,FALSE)=0,"미입력",SUMIFS(sales_logs!$E:$E,sales_logs!$B:$B,$A15,sales_logs!$C:$C,DATE($C$1,$E$1,AI$3),sales_logs!$D:$D,"영업",sales_logs!$I:$I,FALSE)))))))</f>
        <v/>
      </c>
      <c r="AJ15">
        <f>IF($A15="","",IF(MONTH(DATE($C$1,$E$1,AJ$3))&lt;&gt;$E$1,"---",IF(DATE($C$1,$E$1,AJ$3)&gt;TODAY(),"",IF(COUNTIFS(sales_logs!$B:$B,$A15,sales_logs!$C:$C,DATE($C$1,$E$1,AJ$3),sales_logs!$I:$I,TRUE)&gt;0,"중복확인",IF(COUNTIFS(sales_logs!$B:$B,$A15,sales_logs!$C:$C,DATE($C$1,$E$1,AJ$3),sales_logs!$D:$D,"휴무",sales_logs!$I:$I,FALSE)&gt;0,"휴무",IF(COUNTIFS(sales_logs!$B:$B,$A15,sales_logs!$C:$C,DATE($C$1,$E$1,AJ$3),sales_logs!$I:$I,FALSE)=0,"미입력",SUMIFS(sales_logs!$E:$E,sales_logs!$B:$B,$A15,sales_logs!$C:$C,DATE($C$1,$E$1,AJ$3),sales_logs!$D:$D,"영업",sales_logs!$I:$I,FALSE)))))))</f>
        <v/>
      </c>
      <c r="AK15">
        <f>IF($A15="","",IF(MONTH(DATE($C$1,$E$1,AK$3))&lt;&gt;$E$1,"---",IF(DATE($C$1,$E$1,AK$3)&gt;TODAY(),"",IF(COUNTIFS(sales_logs!$B:$B,$A15,sales_logs!$C:$C,DATE($C$1,$E$1,AK$3),sales_logs!$I:$I,TRUE)&gt;0,"중복확인",IF(COUNTIFS(sales_logs!$B:$B,$A15,sales_logs!$C:$C,DATE($C$1,$E$1,AK$3),sales_logs!$D:$D,"휴무",sales_logs!$I:$I,FALSE)&gt;0,"휴무",IF(COUNTIFS(sales_logs!$B:$B,$A15,sales_logs!$C:$C,DATE($C$1,$E$1,AK$3),sales_logs!$I:$I,FALSE)=0,"미입력",SUMIFS(sales_logs!$E:$E,sales_logs!$B:$B,$A15,sales_logs!$C:$C,DATE($C$1,$E$1,AK$3),sales_logs!$D:$D,"영업",sales_logs!$I:$I,FALSE)))))))</f>
        <v/>
      </c>
      <c r="AL15">
        <f>IF($A15="","",IF(MONTH(DATE($C$1,$E$1,AL$3))&lt;&gt;$E$1,"---",IF(DATE($C$1,$E$1,AL$3)&gt;TODAY(),"",IF(COUNTIFS(sales_logs!$B:$B,$A15,sales_logs!$C:$C,DATE($C$1,$E$1,AL$3),sales_logs!$I:$I,TRUE)&gt;0,"중복확인",IF(COUNTIFS(sales_logs!$B:$B,$A15,sales_logs!$C:$C,DATE($C$1,$E$1,AL$3),sales_logs!$D:$D,"휴무",sales_logs!$I:$I,FALSE)&gt;0,"휴무",IF(COUNTIFS(sales_logs!$B:$B,$A15,sales_logs!$C:$C,DATE($C$1,$E$1,AL$3),sales_logs!$I:$I,FALSE)=0,"미입력",SUMIFS(sales_logs!$E:$E,sales_logs!$B:$B,$A15,sales_logs!$C:$C,DATE($C$1,$E$1,AL$3),sales_logs!$D:$D,"영업",sales_logs!$I:$I,FALSE)))))))</f>
        <v/>
      </c>
      <c r="AM15">
        <f>IF($A15="","",IF(MONTH(DATE($C$1,$E$1,AM$3))&lt;&gt;$E$1,"---",IF(DATE($C$1,$E$1,AM$3)&gt;TODAY(),"",IF(COUNTIFS(sales_logs!$B:$B,$A15,sales_logs!$C:$C,DATE($C$1,$E$1,AM$3),sales_logs!$I:$I,TRUE)&gt;0,"중복확인",IF(COUNTIFS(sales_logs!$B:$B,$A15,sales_logs!$C:$C,DATE($C$1,$E$1,AM$3),sales_logs!$D:$D,"휴무",sales_logs!$I:$I,FALSE)&gt;0,"휴무",IF(COUNTIFS(sales_logs!$B:$B,$A15,sales_logs!$C:$C,DATE($C$1,$E$1,AM$3),sales_logs!$I:$I,FALSE)=0,"미입력",SUMIFS(sales_logs!$E:$E,sales_logs!$B:$B,$A15,sales_logs!$C:$C,DATE($C$1,$E$1,AM$3),sales_logs!$D:$D,"영업",sales_logs!$I:$I,FALSE)))))))</f>
        <v/>
      </c>
      <c r="AN15">
        <f>IF($A15="","",IF(MONTH(DATE($C$1,$E$1,AN$3))&lt;&gt;$E$1,"---",IF(DATE($C$1,$E$1,AN$3)&gt;TODAY(),"",IF(COUNTIFS(sales_logs!$B:$B,$A15,sales_logs!$C:$C,DATE($C$1,$E$1,AN$3),sales_logs!$I:$I,TRUE)&gt;0,"중복확인",IF(COUNTIFS(sales_logs!$B:$B,$A15,sales_logs!$C:$C,DATE($C$1,$E$1,AN$3),sales_logs!$D:$D,"휴무",sales_logs!$I:$I,FALSE)&gt;0,"휴무",IF(COUNTIFS(sales_logs!$B:$B,$A15,sales_logs!$C:$C,DATE($C$1,$E$1,AN$3),sales_logs!$I:$I,FALSE)=0,"미입력",SUMIFS(sales_logs!$E:$E,sales_logs!$B:$B,$A15,sales_logs!$C:$C,DATE($C$1,$E$1,AN$3),sales_logs!$D:$D,"영업",sales_logs!$I:$I,FALSE)))))))</f>
        <v/>
      </c>
      <c r="AO15">
        <f>IF($A15="","",IF(MONTH(DATE($C$1,$E$1,AO$3))&lt;&gt;$E$1,"---",IF(DATE($C$1,$E$1,AO$3)&gt;TODAY(),"",IF(COUNTIFS(sales_logs!$B:$B,$A15,sales_logs!$C:$C,DATE($C$1,$E$1,AO$3),sales_logs!$I:$I,TRUE)&gt;0,"중복확인",IF(COUNTIFS(sales_logs!$B:$B,$A15,sales_logs!$C:$C,DATE($C$1,$E$1,AO$3),sales_logs!$D:$D,"휴무",sales_logs!$I:$I,FALSE)&gt;0,"휴무",IF(COUNTIFS(sales_logs!$B:$B,$A15,sales_logs!$C:$C,DATE($C$1,$E$1,AO$3),sales_logs!$I:$I,FALSE)=0,"미입력",SUMIFS(sales_logs!$E:$E,sales_logs!$B:$B,$A15,sales_logs!$C:$C,DATE($C$1,$E$1,AO$3),sales_logs!$D:$D,"영업",sales_logs!$I:$I,FALSE)))))))</f>
        <v/>
      </c>
    </row>
    <row r="16">
      <c r="A16">
        <f>IFERROR(INDEX(FILTER(stores!$A$2:$A,stores!$G$2:$G="active"),ROW()-3),"")</f>
        <v/>
      </c>
      <c r="B16">
        <f>IF($A16="","",VLOOKUP($A16,stores!$A:$B,2,0))</f>
        <v/>
      </c>
      <c r="C16">
        <f>IF($A16="","",VLOOKUP($A16,stores!$A:$C,3,0))</f>
        <v/>
      </c>
      <c r="D16">
        <f>IF($A16="","",IF(DATE($C$1,$E$1,1)&gt;TODAY(),0,IFERROR(COUNTUNIQUE(FILTER(sales_logs!$C$2:$C$1000,sales_logs!$B$2:$B$1000=$A16,sales_logs!$C$2:$C$1000&gt;=DATE($C$1,$E$1,1),sales_logs!$C$2:$C$1000&lt;=MIN(TODAY(),EOMONTH(DATE($C$1,$E$1,1),0)),sales_logs!$I$2:$I$1000=FALSE))/DAY(MIN(TODAY(),EOMONTH(DATE($C$1,$E$1,1),0))),0)))</f>
        <v/>
      </c>
      <c r="E16">
        <f>IF($A16="","",IF(DATE($C$1,$E$1,1)&gt;TODAY(),0,DAY(MIN(TODAY(),EOMONTH(DATE($C$1,$E$1,1),0)))-IFERROR(COUNTUNIQUE(FILTER(sales_logs!$C$2:$C$1000,sales_logs!$B$2:$B$1000=$A16,sales_logs!$C$2:$C$1000&gt;=DATE($C$1,$E$1,1),sales_logs!$C$2:$C$1000&lt;=MIN(TODAY(),EOMONTH(DATE($C$1,$E$1,1),0)),sales_logs!$I$2:$I$1000=FALSE)),0)))</f>
        <v/>
      </c>
      <c r="F16">
        <f>IF($A16="","",COUNTIFS(sales_logs!$B:$B,$A16,sales_logs!$C:$C,"&gt;="&amp;DATE($C$1,$E$1,1),sales_logs!$C:$C,"&lt;="&amp;EOMONTH(DATE($C$1,$E$1,1),0),sales_logs!$D:$D,"휴무",sales_logs!$I:$I,FALSE))</f>
        <v/>
      </c>
      <c r="G16">
        <f>IF($A16="","",COUNTIFS(sales_logs!$B:$B,$A16,sales_logs!$C:$C,"&gt;="&amp;DATE($C$1,$E$1,1),sales_logs!$C:$C,"&lt;="&amp;EOMONTH(DATE($C$1,$E$1,1),0),sales_logs!$D:$D,"영업",sales_logs!$I:$I,FALSE))</f>
        <v/>
      </c>
      <c r="H16">
        <f>IF($A16="","",SUMIFS(sales_logs!$E:$E,sales_logs!$B:$B,$A16,sales_logs!$C:$C,"&gt;="&amp;DATE($C$1,$E$1,1),sales_logs!$C:$C,"&lt;="&amp;EOMONTH(DATE($C$1,$E$1,1),0),sales_logs!$D:$D,"영업",sales_logs!$I:$I,FALSE))</f>
        <v/>
      </c>
      <c r="I16">
        <f>IF(OR($A16="",G16=0),"",H16/G16)</f>
        <v/>
      </c>
      <c r="J16">
        <f>IF($A16="","",LET(cur_end, MIN(TODAY(),EOMONTH(DATE($C$1,$E$1,1),0)),cmp_day, DAY(cur_end),prev_start, DATE($C$1,$E$1-1,1),prev_end, MIN(DATE($C$1,$E$1-1,cmp_day),EOMONTH(DATE($C$1,$E$1-1,1),0)),cur_sales, SUMIFS(sales_logs!$E:$E,sales_logs!$B:$B,$A16,sales_logs!$C:$C,"&gt;="&amp;DATE($C$1,$E$1,1),sales_logs!$C:$C,"&lt;="&amp;cur_end,sales_logs!$D:$D,"영업",sales_logs!$I:$I,FALSE),prev_sales, SUMIFS(sales_logs!$E:$E,sales_logs!$B:$B,$A16,sales_logs!$C:$C,"&gt;="&amp;prev_start,sales_logs!$C:$C,"&lt;="&amp;prev_end,sales_logs!$D:$D,"영업",sales_logs!$I:$I,FALSE),IF(prev_sales=0,"데이터부족",(cur_sales-prev_sales)/prev_sales)))</f>
        <v/>
      </c>
      <c r="K16">
        <f>IF($A16="","",IF(MONTH(DATE($C$1,$E$1,K$3))&lt;&gt;$E$1,"---",IF(DATE($C$1,$E$1,K$3)&gt;TODAY(),"",IF(COUNTIFS(sales_logs!$B:$B,$A16,sales_logs!$C:$C,DATE($C$1,$E$1,K$3),sales_logs!$I:$I,TRUE)&gt;0,"중복확인",IF(COUNTIFS(sales_logs!$B:$B,$A16,sales_logs!$C:$C,DATE($C$1,$E$1,K$3),sales_logs!$D:$D,"휴무",sales_logs!$I:$I,FALSE)&gt;0,"휴무",IF(COUNTIFS(sales_logs!$B:$B,$A16,sales_logs!$C:$C,DATE($C$1,$E$1,K$3),sales_logs!$I:$I,FALSE)=0,"미입력",SUMIFS(sales_logs!$E:$E,sales_logs!$B:$B,$A16,sales_logs!$C:$C,DATE($C$1,$E$1,K$3),sales_logs!$D:$D,"영업",sales_logs!$I:$I,FALSE)))))))</f>
        <v/>
      </c>
      <c r="L16">
        <f>IF($A16="","",IF(MONTH(DATE($C$1,$E$1,L$3))&lt;&gt;$E$1,"---",IF(DATE($C$1,$E$1,L$3)&gt;TODAY(),"",IF(COUNTIFS(sales_logs!$B:$B,$A16,sales_logs!$C:$C,DATE($C$1,$E$1,L$3),sales_logs!$I:$I,TRUE)&gt;0,"중복확인",IF(COUNTIFS(sales_logs!$B:$B,$A16,sales_logs!$C:$C,DATE($C$1,$E$1,L$3),sales_logs!$D:$D,"휴무",sales_logs!$I:$I,FALSE)&gt;0,"휴무",IF(COUNTIFS(sales_logs!$B:$B,$A16,sales_logs!$C:$C,DATE($C$1,$E$1,L$3),sales_logs!$I:$I,FALSE)=0,"미입력",SUMIFS(sales_logs!$E:$E,sales_logs!$B:$B,$A16,sales_logs!$C:$C,DATE($C$1,$E$1,L$3),sales_logs!$D:$D,"영업",sales_logs!$I:$I,FALSE)))))))</f>
        <v/>
      </c>
      <c r="M16">
        <f>IF($A16="","",IF(MONTH(DATE($C$1,$E$1,M$3))&lt;&gt;$E$1,"---",IF(DATE($C$1,$E$1,M$3)&gt;TODAY(),"",IF(COUNTIFS(sales_logs!$B:$B,$A16,sales_logs!$C:$C,DATE($C$1,$E$1,M$3),sales_logs!$I:$I,TRUE)&gt;0,"중복확인",IF(COUNTIFS(sales_logs!$B:$B,$A16,sales_logs!$C:$C,DATE($C$1,$E$1,M$3),sales_logs!$D:$D,"휴무",sales_logs!$I:$I,FALSE)&gt;0,"휴무",IF(COUNTIFS(sales_logs!$B:$B,$A16,sales_logs!$C:$C,DATE($C$1,$E$1,M$3),sales_logs!$I:$I,FALSE)=0,"미입력",SUMIFS(sales_logs!$E:$E,sales_logs!$B:$B,$A16,sales_logs!$C:$C,DATE($C$1,$E$1,M$3),sales_logs!$D:$D,"영업",sales_logs!$I:$I,FALSE)))))))</f>
        <v/>
      </c>
      <c r="N16">
        <f>IF($A16="","",IF(MONTH(DATE($C$1,$E$1,N$3))&lt;&gt;$E$1,"---",IF(DATE($C$1,$E$1,N$3)&gt;TODAY(),"",IF(COUNTIFS(sales_logs!$B:$B,$A16,sales_logs!$C:$C,DATE($C$1,$E$1,N$3),sales_logs!$I:$I,TRUE)&gt;0,"중복확인",IF(COUNTIFS(sales_logs!$B:$B,$A16,sales_logs!$C:$C,DATE($C$1,$E$1,N$3),sales_logs!$D:$D,"휴무",sales_logs!$I:$I,FALSE)&gt;0,"휴무",IF(COUNTIFS(sales_logs!$B:$B,$A16,sales_logs!$C:$C,DATE($C$1,$E$1,N$3),sales_logs!$I:$I,FALSE)=0,"미입력",SUMIFS(sales_logs!$E:$E,sales_logs!$B:$B,$A16,sales_logs!$C:$C,DATE($C$1,$E$1,N$3),sales_logs!$D:$D,"영업",sales_logs!$I:$I,FALSE)))))))</f>
        <v/>
      </c>
      <c r="O16">
        <f>IF($A16="","",IF(MONTH(DATE($C$1,$E$1,O$3))&lt;&gt;$E$1,"---",IF(DATE($C$1,$E$1,O$3)&gt;TODAY(),"",IF(COUNTIFS(sales_logs!$B:$B,$A16,sales_logs!$C:$C,DATE($C$1,$E$1,O$3),sales_logs!$I:$I,TRUE)&gt;0,"중복확인",IF(COUNTIFS(sales_logs!$B:$B,$A16,sales_logs!$C:$C,DATE($C$1,$E$1,O$3),sales_logs!$D:$D,"휴무",sales_logs!$I:$I,FALSE)&gt;0,"휴무",IF(COUNTIFS(sales_logs!$B:$B,$A16,sales_logs!$C:$C,DATE($C$1,$E$1,O$3),sales_logs!$I:$I,FALSE)=0,"미입력",SUMIFS(sales_logs!$E:$E,sales_logs!$B:$B,$A16,sales_logs!$C:$C,DATE($C$1,$E$1,O$3),sales_logs!$D:$D,"영업",sales_logs!$I:$I,FALSE)))))))</f>
        <v/>
      </c>
      <c r="P16">
        <f>IF($A16="","",IF(MONTH(DATE($C$1,$E$1,P$3))&lt;&gt;$E$1,"---",IF(DATE($C$1,$E$1,P$3)&gt;TODAY(),"",IF(COUNTIFS(sales_logs!$B:$B,$A16,sales_logs!$C:$C,DATE($C$1,$E$1,P$3),sales_logs!$I:$I,TRUE)&gt;0,"중복확인",IF(COUNTIFS(sales_logs!$B:$B,$A16,sales_logs!$C:$C,DATE($C$1,$E$1,P$3),sales_logs!$D:$D,"휴무",sales_logs!$I:$I,FALSE)&gt;0,"휴무",IF(COUNTIFS(sales_logs!$B:$B,$A16,sales_logs!$C:$C,DATE($C$1,$E$1,P$3),sales_logs!$I:$I,FALSE)=0,"미입력",SUMIFS(sales_logs!$E:$E,sales_logs!$B:$B,$A16,sales_logs!$C:$C,DATE($C$1,$E$1,P$3),sales_logs!$D:$D,"영업",sales_logs!$I:$I,FALSE)))))))</f>
        <v/>
      </c>
      <c r="Q16">
        <f>IF($A16="","",IF(MONTH(DATE($C$1,$E$1,Q$3))&lt;&gt;$E$1,"---",IF(DATE($C$1,$E$1,Q$3)&gt;TODAY(),"",IF(COUNTIFS(sales_logs!$B:$B,$A16,sales_logs!$C:$C,DATE($C$1,$E$1,Q$3),sales_logs!$I:$I,TRUE)&gt;0,"중복확인",IF(COUNTIFS(sales_logs!$B:$B,$A16,sales_logs!$C:$C,DATE($C$1,$E$1,Q$3),sales_logs!$D:$D,"휴무",sales_logs!$I:$I,FALSE)&gt;0,"휴무",IF(COUNTIFS(sales_logs!$B:$B,$A16,sales_logs!$C:$C,DATE($C$1,$E$1,Q$3),sales_logs!$I:$I,FALSE)=0,"미입력",SUMIFS(sales_logs!$E:$E,sales_logs!$B:$B,$A16,sales_logs!$C:$C,DATE($C$1,$E$1,Q$3),sales_logs!$D:$D,"영업",sales_logs!$I:$I,FALSE)))))))</f>
        <v/>
      </c>
      <c r="R16">
        <f>IF($A16="","",IF(MONTH(DATE($C$1,$E$1,R$3))&lt;&gt;$E$1,"---",IF(DATE($C$1,$E$1,R$3)&gt;TODAY(),"",IF(COUNTIFS(sales_logs!$B:$B,$A16,sales_logs!$C:$C,DATE($C$1,$E$1,R$3),sales_logs!$I:$I,TRUE)&gt;0,"중복확인",IF(COUNTIFS(sales_logs!$B:$B,$A16,sales_logs!$C:$C,DATE($C$1,$E$1,R$3),sales_logs!$D:$D,"휴무",sales_logs!$I:$I,FALSE)&gt;0,"휴무",IF(COUNTIFS(sales_logs!$B:$B,$A16,sales_logs!$C:$C,DATE($C$1,$E$1,R$3),sales_logs!$I:$I,FALSE)=0,"미입력",SUMIFS(sales_logs!$E:$E,sales_logs!$B:$B,$A16,sales_logs!$C:$C,DATE($C$1,$E$1,R$3),sales_logs!$D:$D,"영업",sales_logs!$I:$I,FALSE)))))))</f>
        <v/>
      </c>
      <c r="S16">
        <f>IF($A16="","",IF(MONTH(DATE($C$1,$E$1,S$3))&lt;&gt;$E$1,"---",IF(DATE($C$1,$E$1,S$3)&gt;TODAY(),"",IF(COUNTIFS(sales_logs!$B:$B,$A16,sales_logs!$C:$C,DATE($C$1,$E$1,S$3),sales_logs!$I:$I,TRUE)&gt;0,"중복확인",IF(COUNTIFS(sales_logs!$B:$B,$A16,sales_logs!$C:$C,DATE($C$1,$E$1,S$3),sales_logs!$D:$D,"휴무",sales_logs!$I:$I,FALSE)&gt;0,"휴무",IF(COUNTIFS(sales_logs!$B:$B,$A16,sales_logs!$C:$C,DATE($C$1,$E$1,S$3),sales_logs!$I:$I,FALSE)=0,"미입력",SUMIFS(sales_logs!$E:$E,sales_logs!$B:$B,$A16,sales_logs!$C:$C,DATE($C$1,$E$1,S$3),sales_logs!$D:$D,"영업",sales_logs!$I:$I,FALSE)))))))</f>
        <v/>
      </c>
      <c r="T16">
        <f>IF($A16="","",IF(MONTH(DATE($C$1,$E$1,T$3))&lt;&gt;$E$1,"---",IF(DATE($C$1,$E$1,T$3)&gt;TODAY(),"",IF(COUNTIFS(sales_logs!$B:$B,$A16,sales_logs!$C:$C,DATE($C$1,$E$1,T$3),sales_logs!$I:$I,TRUE)&gt;0,"중복확인",IF(COUNTIFS(sales_logs!$B:$B,$A16,sales_logs!$C:$C,DATE($C$1,$E$1,T$3),sales_logs!$D:$D,"휴무",sales_logs!$I:$I,FALSE)&gt;0,"휴무",IF(COUNTIFS(sales_logs!$B:$B,$A16,sales_logs!$C:$C,DATE($C$1,$E$1,T$3),sales_logs!$I:$I,FALSE)=0,"미입력",SUMIFS(sales_logs!$E:$E,sales_logs!$B:$B,$A16,sales_logs!$C:$C,DATE($C$1,$E$1,T$3),sales_logs!$D:$D,"영업",sales_logs!$I:$I,FALSE)))))))</f>
        <v/>
      </c>
      <c r="U16">
        <f>IF($A16="","",IF(MONTH(DATE($C$1,$E$1,U$3))&lt;&gt;$E$1,"---",IF(DATE($C$1,$E$1,U$3)&gt;TODAY(),"",IF(COUNTIFS(sales_logs!$B:$B,$A16,sales_logs!$C:$C,DATE($C$1,$E$1,U$3),sales_logs!$I:$I,TRUE)&gt;0,"중복확인",IF(COUNTIFS(sales_logs!$B:$B,$A16,sales_logs!$C:$C,DATE($C$1,$E$1,U$3),sales_logs!$D:$D,"휴무",sales_logs!$I:$I,FALSE)&gt;0,"휴무",IF(COUNTIFS(sales_logs!$B:$B,$A16,sales_logs!$C:$C,DATE($C$1,$E$1,U$3),sales_logs!$I:$I,FALSE)=0,"미입력",SUMIFS(sales_logs!$E:$E,sales_logs!$B:$B,$A16,sales_logs!$C:$C,DATE($C$1,$E$1,U$3),sales_logs!$D:$D,"영업",sales_logs!$I:$I,FALSE)))))))</f>
        <v/>
      </c>
      <c r="V16">
        <f>IF($A16="","",IF(MONTH(DATE($C$1,$E$1,V$3))&lt;&gt;$E$1,"---",IF(DATE($C$1,$E$1,V$3)&gt;TODAY(),"",IF(COUNTIFS(sales_logs!$B:$B,$A16,sales_logs!$C:$C,DATE($C$1,$E$1,V$3),sales_logs!$I:$I,TRUE)&gt;0,"중복확인",IF(COUNTIFS(sales_logs!$B:$B,$A16,sales_logs!$C:$C,DATE($C$1,$E$1,V$3),sales_logs!$D:$D,"휴무",sales_logs!$I:$I,FALSE)&gt;0,"휴무",IF(COUNTIFS(sales_logs!$B:$B,$A16,sales_logs!$C:$C,DATE($C$1,$E$1,V$3),sales_logs!$I:$I,FALSE)=0,"미입력",SUMIFS(sales_logs!$E:$E,sales_logs!$B:$B,$A16,sales_logs!$C:$C,DATE($C$1,$E$1,V$3),sales_logs!$D:$D,"영업",sales_logs!$I:$I,FALSE)))))))</f>
        <v/>
      </c>
      <c r="W16">
        <f>IF($A16="","",IF(MONTH(DATE($C$1,$E$1,W$3))&lt;&gt;$E$1,"---",IF(DATE($C$1,$E$1,W$3)&gt;TODAY(),"",IF(COUNTIFS(sales_logs!$B:$B,$A16,sales_logs!$C:$C,DATE($C$1,$E$1,W$3),sales_logs!$I:$I,TRUE)&gt;0,"중복확인",IF(COUNTIFS(sales_logs!$B:$B,$A16,sales_logs!$C:$C,DATE($C$1,$E$1,W$3),sales_logs!$D:$D,"휴무",sales_logs!$I:$I,FALSE)&gt;0,"휴무",IF(COUNTIFS(sales_logs!$B:$B,$A16,sales_logs!$C:$C,DATE($C$1,$E$1,W$3),sales_logs!$I:$I,FALSE)=0,"미입력",SUMIFS(sales_logs!$E:$E,sales_logs!$B:$B,$A16,sales_logs!$C:$C,DATE($C$1,$E$1,W$3),sales_logs!$D:$D,"영업",sales_logs!$I:$I,FALSE)))))))</f>
        <v/>
      </c>
      <c r="X16">
        <f>IF($A16="","",IF(MONTH(DATE($C$1,$E$1,X$3))&lt;&gt;$E$1,"---",IF(DATE($C$1,$E$1,X$3)&gt;TODAY(),"",IF(COUNTIFS(sales_logs!$B:$B,$A16,sales_logs!$C:$C,DATE($C$1,$E$1,X$3),sales_logs!$I:$I,TRUE)&gt;0,"중복확인",IF(COUNTIFS(sales_logs!$B:$B,$A16,sales_logs!$C:$C,DATE($C$1,$E$1,X$3),sales_logs!$D:$D,"휴무",sales_logs!$I:$I,FALSE)&gt;0,"휴무",IF(COUNTIFS(sales_logs!$B:$B,$A16,sales_logs!$C:$C,DATE($C$1,$E$1,X$3),sales_logs!$I:$I,FALSE)=0,"미입력",SUMIFS(sales_logs!$E:$E,sales_logs!$B:$B,$A16,sales_logs!$C:$C,DATE($C$1,$E$1,X$3),sales_logs!$D:$D,"영업",sales_logs!$I:$I,FALSE)))))))</f>
        <v/>
      </c>
      <c r="Y16">
        <f>IF($A16="","",IF(MONTH(DATE($C$1,$E$1,Y$3))&lt;&gt;$E$1,"---",IF(DATE($C$1,$E$1,Y$3)&gt;TODAY(),"",IF(COUNTIFS(sales_logs!$B:$B,$A16,sales_logs!$C:$C,DATE($C$1,$E$1,Y$3),sales_logs!$I:$I,TRUE)&gt;0,"중복확인",IF(COUNTIFS(sales_logs!$B:$B,$A16,sales_logs!$C:$C,DATE($C$1,$E$1,Y$3),sales_logs!$D:$D,"휴무",sales_logs!$I:$I,FALSE)&gt;0,"휴무",IF(COUNTIFS(sales_logs!$B:$B,$A16,sales_logs!$C:$C,DATE($C$1,$E$1,Y$3),sales_logs!$I:$I,FALSE)=0,"미입력",SUMIFS(sales_logs!$E:$E,sales_logs!$B:$B,$A16,sales_logs!$C:$C,DATE($C$1,$E$1,Y$3),sales_logs!$D:$D,"영업",sales_logs!$I:$I,FALSE)))))))</f>
        <v/>
      </c>
      <c r="Z16">
        <f>IF($A16="","",IF(MONTH(DATE($C$1,$E$1,Z$3))&lt;&gt;$E$1,"---",IF(DATE($C$1,$E$1,Z$3)&gt;TODAY(),"",IF(COUNTIFS(sales_logs!$B:$B,$A16,sales_logs!$C:$C,DATE($C$1,$E$1,Z$3),sales_logs!$I:$I,TRUE)&gt;0,"중복확인",IF(COUNTIFS(sales_logs!$B:$B,$A16,sales_logs!$C:$C,DATE($C$1,$E$1,Z$3),sales_logs!$D:$D,"휴무",sales_logs!$I:$I,FALSE)&gt;0,"휴무",IF(COUNTIFS(sales_logs!$B:$B,$A16,sales_logs!$C:$C,DATE($C$1,$E$1,Z$3),sales_logs!$I:$I,FALSE)=0,"미입력",SUMIFS(sales_logs!$E:$E,sales_logs!$B:$B,$A16,sales_logs!$C:$C,DATE($C$1,$E$1,Z$3),sales_logs!$D:$D,"영업",sales_logs!$I:$I,FALSE)))))))</f>
        <v/>
      </c>
      <c r="AA16">
        <f>IF($A16="","",IF(MONTH(DATE($C$1,$E$1,AA$3))&lt;&gt;$E$1,"---",IF(DATE($C$1,$E$1,AA$3)&gt;TODAY(),"",IF(COUNTIFS(sales_logs!$B:$B,$A16,sales_logs!$C:$C,DATE($C$1,$E$1,AA$3),sales_logs!$I:$I,TRUE)&gt;0,"중복확인",IF(COUNTIFS(sales_logs!$B:$B,$A16,sales_logs!$C:$C,DATE($C$1,$E$1,AA$3),sales_logs!$D:$D,"휴무",sales_logs!$I:$I,FALSE)&gt;0,"휴무",IF(COUNTIFS(sales_logs!$B:$B,$A16,sales_logs!$C:$C,DATE($C$1,$E$1,AA$3),sales_logs!$I:$I,FALSE)=0,"미입력",SUMIFS(sales_logs!$E:$E,sales_logs!$B:$B,$A16,sales_logs!$C:$C,DATE($C$1,$E$1,AA$3),sales_logs!$D:$D,"영업",sales_logs!$I:$I,FALSE)))))))</f>
        <v/>
      </c>
      <c r="AB16">
        <f>IF($A16="","",IF(MONTH(DATE($C$1,$E$1,AB$3))&lt;&gt;$E$1,"---",IF(DATE($C$1,$E$1,AB$3)&gt;TODAY(),"",IF(COUNTIFS(sales_logs!$B:$B,$A16,sales_logs!$C:$C,DATE($C$1,$E$1,AB$3),sales_logs!$I:$I,TRUE)&gt;0,"중복확인",IF(COUNTIFS(sales_logs!$B:$B,$A16,sales_logs!$C:$C,DATE($C$1,$E$1,AB$3),sales_logs!$D:$D,"휴무",sales_logs!$I:$I,FALSE)&gt;0,"휴무",IF(COUNTIFS(sales_logs!$B:$B,$A16,sales_logs!$C:$C,DATE($C$1,$E$1,AB$3),sales_logs!$I:$I,FALSE)=0,"미입력",SUMIFS(sales_logs!$E:$E,sales_logs!$B:$B,$A16,sales_logs!$C:$C,DATE($C$1,$E$1,AB$3),sales_logs!$D:$D,"영업",sales_logs!$I:$I,FALSE)))))))</f>
        <v/>
      </c>
      <c r="AC16">
        <f>IF($A16="","",IF(MONTH(DATE($C$1,$E$1,AC$3))&lt;&gt;$E$1,"---",IF(DATE($C$1,$E$1,AC$3)&gt;TODAY(),"",IF(COUNTIFS(sales_logs!$B:$B,$A16,sales_logs!$C:$C,DATE($C$1,$E$1,AC$3),sales_logs!$I:$I,TRUE)&gt;0,"중복확인",IF(COUNTIFS(sales_logs!$B:$B,$A16,sales_logs!$C:$C,DATE($C$1,$E$1,AC$3),sales_logs!$D:$D,"휴무",sales_logs!$I:$I,FALSE)&gt;0,"휴무",IF(COUNTIFS(sales_logs!$B:$B,$A16,sales_logs!$C:$C,DATE($C$1,$E$1,AC$3),sales_logs!$I:$I,FALSE)=0,"미입력",SUMIFS(sales_logs!$E:$E,sales_logs!$B:$B,$A16,sales_logs!$C:$C,DATE($C$1,$E$1,AC$3),sales_logs!$D:$D,"영업",sales_logs!$I:$I,FALSE)))))))</f>
        <v/>
      </c>
      <c r="AD16">
        <f>IF($A16="","",IF(MONTH(DATE($C$1,$E$1,AD$3))&lt;&gt;$E$1,"---",IF(DATE($C$1,$E$1,AD$3)&gt;TODAY(),"",IF(COUNTIFS(sales_logs!$B:$B,$A16,sales_logs!$C:$C,DATE($C$1,$E$1,AD$3),sales_logs!$I:$I,TRUE)&gt;0,"중복확인",IF(COUNTIFS(sales_logs!$B:$B,$A16,sales_logs!$C:$C,DATE($C$1,$E$1,AD$3),sales_logs!$D:$D,"휴무",sales_logs!$I:$I,FALSE)&gt;0,"휴무",IF(COUNTIFS(sales_logs!$B:$B,$A16,sales_logs!$C:$C,DATE($C$1,$E$1,AD$3),sales_logs!$I:$I,FALSE)=0,"미입력",SUMIFS(sales_logs!$E:$E,sales_logs!$B:$B,$A16,sales_logs!$C:$C,DATE($C$1,$E$1,AD$3),sales_logs!$D:$D,"영업",sales_logs!$I:$I,FALSE)))))))</f>
        <v/>
      </c>
      <c r="AE16">
        <f>IF($A16="","",IF(MONTH(DATE($C$1,$E$1,AE$3))&lt;&gt;$E$1,"---",IF(DATE($C$1,$E$1,AE$3)&gt;TODAY(),"",IF(COUNTIFS(sales_logs!$B:$B,$A16,sales_logs!$C:$C,DATE($C$1,$E$1,AE$3),sales_logs!$I:$I,TRUE)&gt;0,"중복확인",IF(COUNTIFS(sales_logs!$B:$B,$A16,sales_logs!$C:$C,DATE($C$1,$E$1,AE$3),sales_logs!$D:$D,"휴무",sales_logs!$I:$I,FALSE)&gt;0,"휴무",IF(COUNTIFS(sales_logs!$B:$B,$A16,sales_logs!$C:$C,DATE($C$1,$E$1,AE$3),sales_logs!$I:$I,FALSE)=0,"미입력",SUMIFS(sales_logs!$E:$E,sales_logs!$B:$B,$A16,sales_logs!$C:$C,DATE($C$1,$E$1,AE$3),sales_logs!$D:$D,"영업",sales_logs!$I:$I,FALSE)))))))</f>
        <v/>
      </c>
      <c r="AF16">
        <f>IF($A16="","",IF(MONTH(DATE($C$1,$E$1,AF$3))&lt;&gt;$E$1,"---",IF(DATE($C$1,$E$1,AF$3)&gt;TODAY(),"",IF(COUNTIFS(sales_logs!$B:$B,$A16,sales_logs!$C:$C,DATE($C$1,$E$1,AF$3),sales_logs!$I:$I,TRUE)&gt;0,"중복확인",IF(COUNTIFS(sales_logs!$B:$B,$A16,sales_logs!$C:$C,DATE($C$1,$E$1,AF$3),sales_logs!$D:$D,"휴무",sales_logs!$I:$I,FALSE)&gt;0,"휴무",IF(COUNTIFS(sales_logs!$B:$B,$A16,sales_logs!$C:$C,DATE($C$1,$E$1,AF$3),sales_logs!$I:$I,FALSE)=0,"미입력",SUMIFS(sales_logs!$E:$E,sales_logs!$B:$B,$A16,sales_logs!$C:$C,DATE($C$1,$E$1,AF$3),sales_logs!$D:$D,"영업",sales_logs!$I:$I,FALSE)))))))</f>
        <v/>
      </c>
      <c r="AG16">
        <f>IF($A16="","",IF(MONTH(DATE($C$1,$E$1,AG$3))&lt;&gt;$E$1,"---",IF(DATE($C$1,$E$1,AG$3)&gt;TODAY(),"",IF(COUNTIFS(sales_logs!$B:$B,$A16,sales_logs!$C:$C,DATE($C$1,$E$1,AG$3),sales_logs!$I:$I,TRUE)&gt;0,"중복확인",IF(COUNTIFS(sales_logs!$B:$B,$A16,sales_logs!$C:$C,DATE($C$1,$E$1,AG$3),sales_logs!$D:$D,"휴무",sales_logs!$I:$I,FALSE)&gt;0,"휴무",IF(COUNTIFS(sales_logs!$B:$B,$A16,sales_logs!$C:$C,DATE($C$1,$E$1,AG$3),sales_logs!$I:$I,FALSE)=0,"미입력",SUMIFS(sales_logs!$E:$E,sales_logs!$B:$B,$A16,sales_logs!$C:$C,DATE($C$1,$E$1,AG$3),sales_logs!$D:$D,"영업",sales_logs!$I:$I,FALSE)))))))</f>
        <v/>
      </c>
      <c r="AH16">
        <f>IF($A16="","",IF(MONTH(DATE($C$1,$E$1,AH$3))&lt;&gt;$E$1,"---",IF(DATE($C$1,$E$1,AH$3)&gt;TODAY(),"",IF(COUNTIFS(sales_logs!$B:$B,$A16,sales_logs!$C:$C,DATE($C$1,$E$1,AH$3),sales_logs!$I:$I,TRUE)&gt;0,"중복확인",IF(COUNTIFS(sales_logs!$B:$B,$A16,sales_logs!$C:$C,DATE($C$1,$E$1,AH$3),sales_logs!$D:$D,"휴무",sales_logs!$I:$I,FALSE)&gt;0,"휴무",IF(COUNTIFS(sales_logs!$B:$B,$A16,sales_logs!$C:$C,DATE($C$1,$E$1,AH$3),sales_logs!$I:$I,FALSE)=0,"미입력",SUMIFS(sales_logs!$E:$E,sales_logs!$B:$B,$A16,sales_logs!$C:$C,DATE($C$1,$E$1,AH$3),sales_logs!$D:$D,"영업",sales_logs!$I:$I,FALSE)))))))</f>
        <v/>
      </c>
      <c r="AI16">
        <f>IF($A16="","",IF(MONTH(DATE($C$1,$E$1,AI$3))&lt;&gt;$E$1,"---",IF(DATE($C$1,$E$1,AI$3)&gt;TODAY(),"",IF(COUNTIFS(sales_logs!$B:$B,$A16,sales_logs!$C:$C,DATE($C$1,$E$1,AI$3),sales_logs!$I:$I,TRUE)&gt;0,"중복확인",IF(COUNTIFS(sales_logs!$B:$B,$A16,sales_logs!$C:$C,DATE($C$1,$E$1,AI$3),sales_logs!$D:$D,"휴무",sales_logs!$I:$I,FALSE)&gt;0,"휴무",IF(COUNTIFS(sales_logs!$B:$B,$A16,sales_logs!$C:$C,DATE($C$1,$E$1,AI$3),sales_logs!$I:$I,FALSE)=0,"미입력",SUMIFS(sales_logs!$E:$E,sales_logs!$B:$B,$A16,sales_logs!$C:$C,DATE($C$1,$E$1,AI$3),sales_logs!$D:$D,"영업",sales_logs!$I:$I,FALSE)))))))</f>
        <v/>
      </c>
      <c r="AJ16">
        <f>IF($A16="","",IF(MONTH(DATE($C$1,$E$1,AJ$3))&lt;&gt;$E$1,"---",IF(DATE($C$1,$E$1,AJ$3)&gt;TODAY(),"",IF(COUNTIFS(sales_logs!$B:$B,$A16,sales_logs!$C:$C,DATE($C$1,$E$1,AJ$3),sales_logs!$I:$I,TRUE)&gt;0,"중복확인",IF(COUNTIFS(sales_logs!$B:$B,$A16,sales_logs!$C:$C,DATE($C$1,$E$1,AJ$3),sales_logs!$D:$D,"휴무",sales_logs!$I:$I,FALSE)&gt;0,"휴무",IF(COUNTIFS(sales_logs!$B:$B,$A16,sales_logs!$C:$C,DATE($C$1,$E$1,AJ$3),sales_logs!$I:$I,FALSE)=0,"미입력",SUMIFS(sales_logs!$E:$E,sales_logs!$B:$B,$A16,sales_logs!$C:$C,DATE($C$1,$E$1,AJ$3),sales_logs!$D:$D,"영업",sales_logs!$I:$I,FALSE)))))))</f>
        <v/>
      </c>
      <c r="AK16">
        <f>IF($A16="","",IF(MONTH(DATE($C$1,$E$1,AK$3))&lt;&gt;$E$1,"---",IF(DATE($C$1,$E$1,AK$3)&gt;TODAY(),"",IF(COUNTIFS(sales_logs!$B:$B,$A16,sales_logs!$C:$C,DATE($C$1,$E$1,AK$3),sales_logs!$I:$I,TRUE)&gt;0,"중복확인",IF(COUNTIFS(sales_logs!$B:$B,$A16,sales_logs!$C:$C,DATE($C$1,$E$1,AK$3),sales_logs!$D:$D,"휴무",sales_logs!$I:$I,FALSE)&gt;0,"휴무",IF(COUNTIFS(sales_logs!$B:$B,$A16,sales_logs!$C:$C,DATE($C$1,$E$1,AK$3),sales_logs!$I:$I,FALSE)=0,"미입력",SUMIFS(sales_logs!$E:$E,sales_logs!$B:$B,$A16,sales_logs!$C:$C,DATE($C$1,$E$1,AK$3),sales_logs!$D:$D,"영업",sales_logs!$I:$I,FALSE)))))))</f>
        <v/>
      </c>
      <c r="AL16">
        <f>IF($A16="","",IF(MONTH(DATE($C$1,$E$1,AL$3))&lt;&gt;$E$1,"---",IF(DATE($C$1,$E$1,AL$3)&gt;TODAY(),"",IF(COUNTIFS(sales_logs!$B:$B,$A16,sales_logs!$C:$C,DATE($C$1,$E$1,AL$3),sales_logs!$I:$I,TRUE)&gt;0,"중복확인",IF(COUNTIFS(sales_logs!$B:$B,$A16,sales_logs!$C:$C,DATE($C$1,$E$1,AL$3),sales_logs!$D:$D,"휴무",sales_logs!$I:$I,FALSE)&gt;0,"휴무",IF(COUNTIFS(sales_logs!$B:$B,$A16,sales_logs!$C:$C,DATE($C$1,$E$1,AL$3),sales_logs!$I:$I,FALSE)=0,"미입력",SUMIFS(sales_logs!$E:$E,sales_logs!$B:$B,$A16,sales_logs!$C:$C,DATE($C$1,$E$1,AL$3),sales_logs!$D:$D,"영업",sales_logs!$I:$I,FALSE)))))))</f>
        <v/>
      </c>
      <c r="AM16">
        <f>IF($A16="","",IF(MONTH(DATE($C$1,$E$1,AM$3))&lt;&gt;$E$1,"---",IF(DATE($C$1,$E$1,AM$3)&gt;TODAY(),"",IF(COUNTIFS(sales_logs!$B:$B,$A16,sales_logs!$C:$C,DATE($C$1,$E$1,AM$3),sales_logs!$I:$I,TRUE)&gt;0,"중복확인",IF(COUNTIFS(sales_logs!$B:$B,$A16,sales_logs!$C:$C,DATE($C$1,$E$1,AM$3),sales_logs!$D:$D,"휴무",sales_logs!$I:$I,FALSE)&gt;0,"휴무",IF(COUNTIFS(sales_logs!$B:$B,$A16,sales_logs!$C:$C,DATE($C$1,$E$1,AM$3),sales_logs!$I:$I,FALSE)=0,"미입력",SUMIFS(sales_logs!$E:$E,sales_logs!$B:$B,$A16,sales_logs!$C:$C,DATE($C$1,$E$1,AM$3),sales_logs!$D:$D,"영업",sales_logs!$I:$I,FALSE)))))))</f>
        <v/>
      </c>
      <c r="AN16">
        <f>IF($A16="","",IF(MONTH(DATE($C$1,$E$1,AN$3))&lt;&gt;$E$1,"---",IF(DATE($C$1,$E$1,AN$3)&gt;TODAY(),"",IF(COUNTIFS(sales_logs!$B:$B,$A16,sales_logs!$C:$C,DATE($C$1,$E$1,AN$3),sales_logs!$I:$I,TRUE)&gt;0,"중복확인",IF(COUNTIFS(sales_logs!$B:$B,$A16,sales_logs!$C:$C,DATE($C$1,$E$1,AN$3),sales_logs!$D:$D,"휴무",sales_logs!$I:$I,FALSE)&gt;0,"휴무",IF(COUNTIFS(sales_logs!$B:$B,$A16,sales_logs!$C:$C,DATE($C$1,$E$1,AN$3),sales_logs!$I:$I,FALSE)=0,"미입력",SUMIFS(sales_logs!$E:$E,sales_logs!$B:$B,$A16,sales_logs!$C:$C,DATE($C$1,$E$1,AN$3),sales_logs!$D:$D,"영업",sales_logs!$I:$I,FALSE)))))))</f>
        <v/>
      </c>
      <c r="AO16">
        <f>IF($A16="","",IF(MONTH(DATE($C$1,$E$1,AO$3))&lt;&gt;$E$1,"---",IF(DATE($C$1,$E$1,AO$3)&gt;TODAY(),"",IF(COUNTIFS(sales_logs!$B:$B,$A16,sales_logs!$C:$C,DATE($C$1,$E$1,AO$3),sales_logs!$I:$I,TRUE)&gt;0,"중복확인",IF(COUNTIFS(sales_logs!$B:$B,$A16,sales_logs!$C:$C,DATE($C$1,$E$1,AO$3),sales_logs!$D:$D,"휴무",sales_logs!$I:$I,FALSE)&gt;0,"휴무",IF(COUNTIFS(sales_logs!$B:$B,$A16,sales_logs!$C:$C,DATE($C$1,$E$1,AO$3),sales_logs!$I:$I,FALSE)=0,"미입력",SUMIFS(sales_logs!$E:$E,sales_logs!$B:$B,$A16,sales_logs!$C:$C,DATE($C$1,$E$1,AO$3),sales_logs!$D:$D,"영업",sales_logs!$I:$I,FALSE)))))))</f>
        <v/>
      </c>
    </row>
    <row r="17">
      <c r="A17">
        <f>IFERROR(INDEX(FILTER(stores!$A$2:$A,stores!$G$2:$G="active"),ROW()-3),"")</f>
        <v/>
      </c>
      <c r="B17">
        <f>IF($A17="","",VLOOKUP($A17,stores!$A:$B,2,0))</f>
        <v/>
      </c>
      <c r="C17">
        <f>IF($A17="","",VLOOKUP($A17,stores!$A:$C,3,0))</f>
        <v/>
      </c>
      <c r="D17">
        <f>IF($A17="","",IF(DATE($C$1,$E$1,1)&gt;TODAY(),0,IFERROR(COUNTUNIQUE(FILTER(sales_logs!$C$2:$C$1000,sales_logs!$B$2:$B$1000=$A17,sales_logs!$C$2:$C$1000&gt;=DATE($C$1,$E$1,1),sales_logs!$C$2:$C$1000&lt;=MIN(TODAY(),EOMONTH(DATE($C$1,$E$1,1),0)),sales_logs!$I$2:$I$1000=FALSE))/DAY(MIN(TODAY(),EOMONTH(DATE($C$1,$E$1,1),0))),0)))</f>
        <v/>
      </c>
      <c r="E17">
        <f>IF($A17="","",IF(DATE($C$1,$E$1,1)&gt;TODAY(),0,DAY(MIN(TODAY(),EOMONTH(DATE($C$1,$E$1,1),0)))-IFERROR(COUNTUNIQUE(FILTER(sales_logs!$C$2:$C$1000,sales_logs!$B$2:$B$1000=$A17,sales_logs!$C$2:$C$1000&gt;=DATE($C$1,$E$1,1),sales_logs!$C$2:$C$1000&lt;=MIN(TODAY(),EOMONTH(DATE($C$1,$E$1,1),0)),sales_logs!$I$2:$I$1000=FALSE)),0)))</f>
        <v/>
      </c>
      <c r="F17">
        <f>IF($A17="","",COUNTIFS(sales_logs!$B:$B,$A17,sales_logs!$C:$C,"&gt;="&amp;DATE($C$1,$E$1,1),sales_logs!$C:$C,"&lt;="&amp;EOMONTH(DATE($C$1,$E$1,1),0),sales_logs!$D:$D,"휴무",sales_logs!$I:$I,FALSE))</f>
        <v/>
      </c>
      <c r="G17">
        <f>IF($A17="","",COUNTIFS(sales_logs!$B:$B,$A17,sales_logs!$C:$C,"&gt;="&amp;DATE($C$1,$E$1,1),sales_logs!$C:$C,"&lt;="&amp;EOMONTH(DATE($C$1,$E$1,1),0),sales_logs!$D:$D,"영업",sales_logs!$I:$I,FALSE))</f>
        <v/>
      </c>
      <c r="H17">
        <f>IF($A17="","",SUMIFS(sales_logs!$E:$E,sales_logs!$B:$B,$A17,sales_logs!$C:$C,"&gt;="&amp;DATE($C$1,$E$1,1),sales_logs!$C:$C,"&lt;="&amp;EOMONTH(DATE($C$1,$E$1,1),0),sales_logs!$D:$D,"영업",sales_logs!$I:$I,FALSE))</f>
        <v/>
      </c>
      <c r="I17">
        <f>IF(OR($A17="",G17=0),"",H17/G17)</f>
        <v/>
      </c>
      <c r="J17">
        <f>IF($A17="","",LET(cur_end, MIN(TODAY(),EOMONTH(DATE($C$1,$E$1,1),0)),cmp_day, DAY(cur_end),prev_start, DATE($C$1,$E$1-1,1),prev_end, MIN(DATE($C$1,$E$1-1,cmp_day),EOMONTH(DATE($C$1,$E$1-1,1),0)),cur_sales, SUMIFS(sales_logs!$E:$E,sales_logs!$B:$B,$A17,sales_logs!$C:$C,"&gt;="&amp;DATE($C$1,$E$1,1),sales_logs!$C:$C,"&lt;="&amp;cur_end,sales_logs!$D:$D,"영업",sales_logs!$I:$I,FALSE),prev_sales, SUMIFS(sales_logs!$E:$E,sales_logs!$B:$B,$A17,sales_logs!$C:$C,"&gt;="&amp;prev_start,sales_logs!$C:$C,"&lt;="&amp;prev_end,sales_logs!$D:$D,"영업",sales_logs!$I:$I,FALSE),IF(prev_sales=0,"데이터부족",(cur_sales-prev_sales)/prev_sales)))</f>
        <v/>
      </c>
      <c r="K17">
        <f>IF($A17="","",IF(MONTH(DATE($C$1,$E$1,K$3))&lt;&gt;$E$1,"---",IF(DATE($C$1,$E$1,K$3)&gt;TODAY(),"",IF(COUNTIFS(sales_logs!$B:$B,$A17,sales_logs!$C:$C,DATE($C$1,$E$1,K$3),sales_logs!$I:$I,TRUE)&gt;0,"중복확인",IF(COUNTIFS(sales_logs!$B:$B,$A17,sales_logs!$C:$C,DATE($C$1,$E$1,K$3),sales_logs!$D:$D,"휴무",sales_logs!$I:$I,FALSE)&gt;0,"휴무",IF(COUNTIFS(sales_logs!$B:$B,$A17,sales_logs!$C:$C,DATE($C$1,$E$1,K$3),sales_logs!$I:$I,FALSE)=0,"미입력",SUMIFS(sales_logs!$E:$E,sales_logs!$B:$B,$A17,sales_logs!$C:$C,DATE($C$1,$E$1,K$3),sales_logs!$D:$D,"영업",sales_logs!$I:$I,FALSE)))))))</f>
        <v/>
      </c>
      <c r="L17">
        <f>IF($A17="","",IF(MONTH(DATE($C$1,$E$1,L$3))&lt;&gt;$E$1,"---",IF(DATE($C$1,$E$1,L$3)&gt;TODAY(),"",IF(COUNTIFS(sales_logs!$B:$B,$A17,sales_logs!$C:$C,DATE($C$1,$E$1,L$3),sales_logs!$I:$I,TRUE)&gt;0,"중복확인",IF(COUNTIFS(sales_logs!$B:$B,$A17,sales_logs!$C:$C,DATE($C$1,$E$1,L$3),sales_logs!$D:$D,"휴무",sales_logs!$I:$I,FALSE)&gt;0,"휴무",IF(COUNTIFS(sales_logs!$B:$B,$A17,sales_logs!$C:$C,DATE($C$1,$E$1,L$3),sales_logs!$I:$I,FALSE)=0,"미입력",SUMIFS(sales_logs!$E:$E,sales_logs!$B:$B,$A17,sales_logs!$C:$C,DATE($C$1,$E$1,L$3),sales_logs!$D:$D,"영업",sales_logs!$I:$I,FALSE)))))))</f>
        <v/>
      </c>
      <c r="M17">
        <f>IF($A17="","",IF(MONTH(DATE($C$1,$E$1,M$3))&lt;&gt;$E$1,"---",IF(DATE($C$1,$E$1,M$3)&gt;TODAY(),"",IF(COUNTIFS(sales_logs!$B:$B,$A17,sales_logs!$C:$C,DATE($C$1,$E$1,M$3),sales_logs!$I:$I,TRUE)&gt;0,"중복확인",IF(COUNTIFS(sales_logs!$B:$B,$A17,sales_logs!$C:$C,DATE($C$1,$E$1,M$3),sales_logs!$D:$D,"휴무",sales_logs!$I:$I,FALSE)&gt;0,"휴무",IF(COUNTIFS(sales_logs!$B:$B,$A17,sales_logs!$C:$C,DATE($C$1,$E$1,M$3),sales_logs!$I:$I,FALSE)=0,"미입력",SUMIFS(sales_logs!$E:$E,sales_logs!$B:$B,$A17,sales_logs!$C:$C,DATE($C$1,$E$1,M$3),sales_logs!$D:$D,"영업",sales_logs!$I:$I,FALSE)))))))</f>
        <v/>
      </c>
      <c r="N17">
        <f>IF($A17="","",IF(MONTH(DATE($C$1,$E$1,N$3))&lt;&gt;$E$1,"---",IF(DATE($C$1,$E$1,N$3)&gt;TODAY(),"",IF(COUNTIFS(sales_logs!$B:$B,$A17,sales_logs!$C:$C,DATE($C$1,$E$1,N$3),sales_logs!$I:$I,TRUE)&gt;0,"중복확인",IF(COUNTIFS(sales_logs!$B:$B,$A17,sales_logs!$C:$C,DATE($C$1,$E$1,N$3),sales_logs!$D:$D,"휴무",sales_logs!$I:$I,FALSE)&gt;0,"휴무",IF(COUNTIFS(sales_logs!$B:$B,$A17,sales_logs!$C:$C,DATE($C$1,$E$1,N$3),sales_logs!$I:$I,FALSE)=0,"미입력",SUMIFS(sales_logs!$E:$E,sales_logs!$B:$B,$A17,sales_logs!$C:$C,DATE($C$1,$E$1,N$3),sales_logs!$D:$D,"영업",sales_logs!$I:$I,FALSE)))))))</f>
        <v/>
      </c>
      <c r="O17">
        <f>IF($A17="","",IF(MONTH(DATE($C$1,$E$1,O$3))&lt;&gt;$E$1,"---",IF(DATE($C$1,$E$1,O$3)&gt;TODAY(),"",IF(COUNTIFS(sales_logs!$B:$B,$A17,sales_logs!$C:$C,DATE($C$1,$E$1,O$3),sales_logs!$I:$I,TRUE)&gt;0,"중복확인",IF(COUNTIFS(sales_logs!$B:$B,$A17,sales_logs!$C:$C,DATE($C$1,$E$1,O$3),sales_logs!$D:$D,"휴무",sales_logs!$I:$I,FALSE)&gt;0,"휴무",IF(COUNTIFS(sales_logs!$B:$B,$A17,sales_logs!$C:$C,DATE($C$1,$E$1,O$3),sales_logs!$I:$I,FALSE)=0,"미입력",SUMIFS(sales_logs!$E:$E,sales_logs!$B:$B,$A17,sales_logs!$C:$C,DATE($C$1,$E$1,O$3),sales_logs!$D:$D,"영업",sales_logs!$I:$I,FALSE)))))))</f>
        <v/>
      </c>
      <c r="P17">
        <f>IF($A17="","",IF(MONTH(DATE($C$1,$E$1,P$3))&lt;&gt;$E$1,"---",IF(DATE($C$1,$E$1,P$3)&gt;TODAY(),"",IF(COUNTIFS(sales_logs!$B:$B,$A17,sales_logs!$C:$C,DATE($C$1,$E$1,P$3),sales_logs!$I:$I,TRUE)&gt;0,"중복확인",IF(COUNTIFS(sales_logs!$B:$B,$A17,sales_logs!$C:$C,DATE($C$1,$E$1,P$3),sales_logs!$D:$D,"휴무",sales_logs!$I:$I,FALSE)&gt;0,"휴무",IF(COUNTIFS(sales_logs!$B:$B,$A17,sales_logs!$C:$C,DATE($C$1,$E$1,P$3),sales_logs!$I:$I,FALSE)=0,"미입력",SUMIFS(sales_logs!$E:$E,sales_logs!$B:$B,$A17,sales_logs!$C:$C,DATE($C$1,$E$1,P$3),sales_logs!$D:$D,"영업",sales_logs!$I:$I,FALSE)))))))</f>
        <v/>
      </c>
      <c r="Q17">
        <f>IF($A17="","",IF(MONTH(DATE($C$1,$E$1,Q$3))&lt;&gt;$E$1,"---",IF(DATE($C$1,$E$1,Q$3)&gt;TODAY(),"",IF(COUNTIFS(sales_logs!$B:$B,$A17,sales_logs!$C:$C,DATE($C$1,$E$1,Q$3),sales_logs!$I:$I,TRUE)&gt;0,"중복확인",IF(COUNTIFS(sales_logs!$B:$B,$A17,sales_logs!$C:$C,DATE($C$1,$E$1,Q$3),sales_logs!$D:$D,"휴무",sales_logs!$I:$I,FALSE)&gt;0,"휴무",IF(COUNTIFS(sales_logs!$B:$B,$A17,sales_logs!$C:$C,DATE($C$1,$E$1,Q$3),sales_logs!$I:$I,FALSE)=0,"미입력",SUMIFS(sales_logs!$E:$E,sales_logs!$B:$B,$A17,sales_logs!$C:$C,DATE($C$1,$E$1,Q$3),sales_logs!$D:$D,"영업",sales_logs!$I:$I,FALSE)))))))</f>
        <v/>
      </c>
      <c r="R17">
        <f>IF($A17="","",IF(MONTH(DATE($C$1,$E$1,R$3))&lt;&gt;$E$1,"---",IF(DATE($C$1,$E$1,R$3)&gt;TODAY(),"",IF(COUNTIFS(sales_logs!$B:$B,$A17,sales_logs!$C:$C,DATE($C$1,$E$1,R$3),sales_logs!$I:$I,TRUE)&gt;0,"중복확인",IF(COUNTIFS(sales_logs!$B:$B,$A17,sales_logs!$C:$C,DATE($C$1,$E$1,R$3),sales_logs!$D:$D,"휴무",sales_logs!$I:$I,FALSE)&gt;0,"휴무",IF(COUNTIFS(sales_logs!$B:$B,$A17,sales_logs!$C:$C,DATE($C$1,$E$1,R$3),sales_logs!$I:$I,FALSE)=0,"미입력",SUMIFS(sales_logs!$E:$E,sales_logs!$B:$B,$A17,sales_logs!$C:$C,DATE($C$1,$E$1,R$3),sales_logs!$D:$D,"영업",sales_logs!$I:$I,FALSE)))))))</f>
        <v/>
      </c>
      <c r="S17">
        <f>IF($A17="","",IF(MONTH(DATE($C$1,$E$1,S$3))&lt;&gt;$E$1,"---",IF(DATE($C$1,$E$1,S$3)&gt;TODAY(),"",IF(COUNTIFS(sales_logs!$B:$B,$A17,sales_logs!$C:$C,DATE($C$1,$E$1,S$3),sales_logs!$I:$I,TRUE)&gt;0,"중복확인",IF(COUNTIFS(sales_logs!$B:$B,$A17,sales_logs!$C:$C,DATE($C$1,$E$1,S$3),sales_logs!$D:$D,"휴무",sales_logs!$I:$I,FALSE)&gt;0,"휴무",IF(COUNTIFS(sales_logs!$B:$B,$A17,sales_logs!$C:$C,DATE($C$1,$E$1,S$3),sales_logs!$I:$I,FALSE)=0,"미입력",SUMIFS(sales_logs!$E:$E,sales_logs!$B:$B,$A17,sales_logs!$C:$C,DATE($C$1,$E$1,S$3),sales_logs!$D:$D,"영업",sales_logs!$I:$I,FALSE)))))))</f>
        <v/>
      </c>
      <c r="T17">
        <f>IF($A17="","",IF(MONTH(DATE($C$1,$E$1,T$3))&lt;&gt;$E$1,"---",IF(DATE($C$1,$E$1,T$3)&gt;TODAY(),"",IF(COUNTIFS(sales_logs!$B:$B,$A17,sales_logs!$C:$C,DATE($C$1,$E$1,T$3),sales_logs!$I:$I,TRUE)&gt;0,"중복확인",IF(COUNTIFS(sales_logs!$B:$B,$A17,sales_logs!$C:$C,DATE($C$1,$E$1,T$3),sales_logs!$D:$D,"휴무",sales_logs!$I:$I,FALSE)&gt;0,"휴무",IF(COUNTIFS(sales_logs!$B:$B,$A17,sales_logs!$C:$C,DATE($C$1,$E$1,T$3),sales_logs!$I:$I,FALSE)=0,"미입력",SUMIFS(sales_logs!$E:$E,sales_logs!$B:$B,$A17,sales_logs!$C:$C,DATE($C$1,$E$1,T$3),sales_logs!$D:$D,"영업",sales_logs!$I:$I,FALSE)))))))</f>
        <v/>
      </c>
      <c r="U17">
        <f>IF($A17="","",IF(MONTH(DATE($C$1,$E$1,U$3))&lt;&gt;$E$1,"---",IF(DATE($C$1,$E$1,U$3)&gt;TODAY(),"",IF(COUNTIFS(sales_logs!$B:$B,$A17,sales_logs!$C:$C,DATE($C$1,$E$1,U$3),sales_logs!$I:$I,TRUE)&gt;0,"중복확인",IF(COUNTIFS(sales_logs!$B:$B,$A17,sales_logs!$C:$C,DATE($C$1,$E$1,U$3),sales_logs!$D:$D,"휴무",sales_logs!$I:$I,FALSE)&gt;0,"휴무",IF(COUNTIFS(sales_logs!$B:$B,$A17,sales_logs!$C:$C,DATE($C$1,$E$1,U$3),sales_logs!$I:$I,FALSE)=0,"미입력",SUMIFS(sales_logs!$E:$E,sales_logs!$B:$B,$A17,sales_logs!$C:$C,DATE($C$1,$E$1,U$3),sales_logs!$D:$D,"영업",sales_logs!$I:$I,FALSE)))))))</f>
        <v/>
      </c>
      <c r="V17">
        <f>IF($A17="","",IF(MONTH(DATE($C$1,$E$1,V$3))&lt;&gt;$E$1,"---",IF(DATE($C$1,$E$1,V$3)&gt;TODAY(),"",IF(COUNTIFS(sales_logs!$B:$B,$A17,sales_logs!$C:$C,DATE($C$1,$E$1,V$3),sales_logs!$I:$I,TRUE)&gt;0,"중복확인",IF(COUNTIFS(sales_logs!$B:$B,$A17,sales_logs!$C:$C,DATE($C$1,$E$1,V$3),sales_logs!$D:$D,"휴무",sales_logs!$I:$I,FALSE)&gt;0,"휴무",IF(COUNTIFS(sales_logs!$B:$B,$A17,sales_logs!$C:$C,DATE($C$1,$E$1,V$3),sales_logs!$I:$I,FALSE)=0,"미입력",SUMIFS(sales_logs!$E:$E,sales_logs!$B:$B,$A17,sales_logs!$C:$C,DATE($C$1,$E$1,V$3),sales_logs!$D:$D,"영업",sales_logs!$I:$I,FALSE)))))))</f>
        <v/>
      </c>
      <c r="W17">
        <f>IF($A17="","",IF(MONTH(DATE($C$1,$E$1,W$3))&lt;&gt;$E$1,"---",IF(DATE($C$1,$E$1,W$3)&gt;TODAY(),"",IF(COUNTIFS(sales_logs!$B:$B,$A17,sales_logs!$C:$C,DATE($C$1,$E$1,W$3),sales_logs!$I:$I,TRUE)&gt;0,"중복확인",IF(COUNTIFS(sales_logs!$B:$B,$A17,sales_logs!$C:$C,DATE($C$1,$E$1,W$3),sales_logs!$D:$D,"휴무",sales_logs!$I:$I,FALSE)&gt;0,"휴무",IF(COUNTIFS(sales_logs!$B:$B,$A17,sales_logs!$C:$C,DATE($C$1,$E$1,W$3),sales_logs!$I:$I,FALSE)=0,"미입력",SUMIFS(sales_logs!$E:$E,sales_logs!$B:$B,$A17,sales_logs!$C:$C,DATE($C$1,$E$1,W$3),sales_logs!$D:$D,"영업",sales_logs!$I:$I,FALSE)))))))</f>
        <v/>
      </c>
      <c r="X17">
        <f>IF($A17="","",IF(MONTH(DATE($C$1,$E$1,X$3))&lt;&gt;$E$1,"---",IF(DATE($C$1,$E$1,X$3)&gt;TODAY(),"",IF(COUNTIFS(sales_logs!$B:$B,$A17,sales_logs!$C:$C,DATE($C$1,$E$1,X$3),sales_logs!$I:$I,TRUE)&gt;0,"중복확인",IF(COUNTIFS(sales_logs!$B:$B,$A17,sales_logs!$C:$C,DATE($C$1,$E$1,X$3),sales_logs!$D:$D,"휴무",sales_logs!$I:$I,FALSE)&gt;0,"휴무",IF(COUNTIFS(sales_logs!$B:$B,$A17,sales_logs!$C:$C,DATE($C$1,$E$1,X$3),sales_logs!$I:$I,FALSE)=0,"미입력",SUMIFS(sales_logs!$E:$E,sales_logs!$B:$B,$A17,sales_logs!$C:$C,DATE($C$1,$E$1,X$3),sales_logs!$D:$D,"영업",sales_logs!$I:$I,FALSE)))))))</f>
        <v/>
      </c>
      <c r="Y17">
        <f>IF($A17="","",IF(MONTH(DATE($C$1,$E$1,Y$3))&lt;&gt;$E$1,"---",IF(DATE($C$1,$E$1,Y$3)&gt;TODAY(),"",IF(COUNTIFS(sales_logs!$B:$B,$A17,sales_logs!$C:$C,DATE($C$1,$E$1,Y$3),sales_logs!$I:$I,TRUE)&gt;0,"중복확인",IF(COUNTIFS(sales_logs!$B:$B,$A17,sales_logs!$C:$C,DATE($C$1,$E$1,Y$3),sales_logs!$D:$D,"휴무",sales_logs!$I:$I,FALSE)&gt;0,"휴무",IF(COUNTIFS(sales_logs!$B:$B,$A17,sales_logs!$C:$C,DATE($C$1,$E$1,Y$3),sales_logs!$I:$I,FALSE)=0,"미입력",SUMIFS(sales_logs!$E:$E,sales_logs!$B:$B,$A17,sales_logs!$C:$C,DATE($C$1,$E$1,Y$3),sales_logs!$D:$D,"영업",sales_logs!$I:$I,FALSE)))))))</f>
        <v/>
      </c>
      <c r="Z17">
        <f>IF($A17="","",IF(MONTH(DATE($C$1,$E$1,Z$3))&lt;&gt;$E$1,"---",IF(DATE($C$1,$E$1,Z$3)&gt;TODAY(),"",IF(COUNTIFS(sales_logs!$B:$B,$A17,sales_logs!$C:$C,DATE($C$1,$E$1,Z$3),sales_logs!$I:$I,TRUE)&gt;0,"중복확인",IF(COUNTIFS(sales_logs!$B:$B,$A17,sales_logs!$C:$C,DATE($C$1,$E$1,Z$3),sales_logs!$D:$D,"휴무",sales_logs!$I:$I,FALSE)&gt;0,"휴무",IF(COUNTIFS(sales_logs!$B:$B,$A17,sales_logs!$C:$C,DATE($C$1,$E$1,Z$3),sales_logs!$I:$I,FALSE)=0,"미입력",SUMIFS(sales_logs!$E:$E,sales_logs!$B:$B,$A17,sales_logs!$C:$C,DATE($C$1,$E$1,Z$3),sales_logs!$D:$D,"영업",sales_logs!$I:$I,FALSE)))))))</f>
        <v/>
      </c>
      <c r="AA17">
        <f>IF($A17="","",IF(MONTH(DATE($C$1,$E$1,AA$3))&lt;&gt;$E$1,"---",IF(DATE($C$1,$E$1,AA$3)&gt;TODAY(),"",IF(COUNTIFS(sales_logs!$B:$B,$A17,sales_logs!$C:$C,DATE($C$1,$E$1,AA$3),sales_logs!$I:$I,TRUE)&gt;0,"중복확인",IF(COUNTIFS(sales_logs!$B:$B,$A17,sales_logs!$C:$C,DATE($C$1,$E$1,AA$3),sales_logs!$D:$D,"휴무",sales_logs!$I:$I,FALSE)&gt;0,"휴무",IF(COUNTIFS(sales_logs!$B:$B,$A17,sales_logs!$C:$C,DATE($C$1,$E$1,AA$3),sales_logs!$I:$I,FALSE)=0,"미입력",SUMIFS(sales_logs!$E:$E,sales_logs!$B:$B,$A17,sales_logs!$C:$C,DATE($C$1,$E$1,AA$3),sales_logs!$D:$D,"영업",sales_logs!$I:$I,FALSE)))))))</f>
        <v/>
      </c>
      <c r="AB17">
        <f>IF($A17="","",IF(MONTH(DATE($C$1,$E$1,AB$3))&lt;&gt;$E$1,"---",IF(DATE($C$1,$E$1,AB$3)&gt;TODAY(),"",IF(COUNTIFS(sales_logs!$B:$B,$A17,sales_logs!$C:$C,DATE($C$1,$E$1,AB$3),sales_logs!$I:$I,TRUE)&gt;0,"중복확인",IF(COUNTIFS(sales_logs!$B:$B,$A17,sales_logs!$C:$C,DATE($C$1,$E$1,AB$3),sales_logs!$D:$D,"휴무",sales_logs!$I:$I,FALSE)&gt;0,"휴무",IF(COUNTIFS(sales_logs!$B:$B,$A17,sales_logs!$C:$C,DATE($C$1,$E$1,AB$3),sales_logs!$I:$I,FALSE)=0,"미입력",SUMIFS(sales_logs!$E:$E,sales_logs!$B:$B,$A17,sales_logs!$C:$C,DATE($C$1,$E$1,AB$3),sales_logs!$D:$D,"영업",sales_logs!$I:$I,FALSE)))))))</f>
        <v/>
      </c>
      <c r="AC17">
        <f>IF($A17="","",IF(MONTH(DATE($C$1,$E$1,AC$3))&lt;&gt;$E$1,"---",IF(DATE($C$1,$E$1,AC$3)&gt;TODAY(),"",IF(COUNTIFS(sales_logs!$B:$B,$A17,sales_logs!$C:$C,DATE($C$1,$E$1,AC$3),sales_logs!$I:$I,TRUE)&gt;0,"중복확인",IF(COUNTIFS(sales_logs!$B:$B,$A17,sales_logs!$C:$C,DATE($C$1,$E$1,AC$3),sales_logs!$D:$D,"휴무",sales_logs!$I:$I,FALSE)&gt;0,"휴무",IF(COUNTIFS(sales_logs!$B:$B,$A17,sales_logs!$C:$C,DATE($C$1,$E$1,AC$3),sales_logs!$I:$I,FALSE)=0,"미입력",SUMIFS(sales_logs!$E:$E,sales_logs!$B:$B,$A17,sales_logs!$C:$C,DATE($C$1,$E$1,AC$3),sales_logs!$D:$D,"영업",sales_logs!$I:$I,FALSE)))))))</f>
        <v/>
      </c>
      <c r="AD17">
        <f>IF($A17="","",IF(MONTH(DATE($C$1,$E$1,AD$3))&lt;&gt;$E$1,"---",IF(DATE($C$1,$E$1,AD$3)&gt;TODAY(),"",IF(COUNTIFS(sales_logs!$B:$B,$A17,sales_logs!$C:$C,DATE($C$1,$E$1,AD$3),sales_logs!$I:$I,TRUE)&gt;0,"중복확인",IF(COUNTIFS(sales_logs!$B:$B,$A17,sales_logs!$C:$C,DATE($C$1,$E$1,AD$3),sales_logs!$D:$D,"휴무",sales_logs!$I:$I,FALSE)&gt;0,"휴무",IF(COUNTIFS(sales_logs!$B:$B,$A17,sales_logs!$C:$C,DATE($C$1,$E$1,AD$3),sales_logs!$I:$I,FALSE)=0,"미입력",SUMIFS(sales_logs!$E:$E,sales_logs!$B:$B,$A17,sales_logs!$C:$C,DATE($C$1,$E$1,AD$3),sales_logs!$D:$D,"영업",sales_logs!$I:$I,FALSE)))))))</f>
        <v/>
      </c>
      <c r="AE17">
        <f>IF($A17="","",IF(MONTH(DATE($C$1,$E$1,AE$3))&lt;&gt;$E$1,"---",IF(DATE($C$1,$E$1,AE$3)&gt;TODAY(),"",IF(COUNTIFS(sales_logs!$B:$B,$A17,sales_logs!$C:$C,DATE($C$1,$E$1,AE$3),sales_logs!$I:$I,TRUE)&gt;0,"중복확인",IF(COUNTIFS(sales_logs!$B:$B,$A17,sales_logs!$C:$C,DATE($C$1,$E$1,AE$3),sales_logs!$D:$D,"휴무",sales_logs!$I:$I,FALSE)&gt;0,"휴무",IF(COUNTIFS(sales_logs!$B:$B,$A17,sales_logs!$C:$C,DATE($C$1,$E$1,AE$3),sales_logs!$I:$I,FALSE)=0,"미입력",SUMIFS(sales_logs!$E:$E,sales_logs!$B:$B,$A17,sales_logs!$C:$C,DATE($C$1,$E$1,AE$3),sales_logs!$D:$D,"영업",sales_logs!$I:$I,FALSE)))))))</f>
        <v/>
      </c>
      <c r="AF17">
        <f>IF($A17="","",IF(MONTH(DATE($C$1,$E$1,AF$3))&lt;&gt;$E$1,"---",IF(DATE($C$1,$E$1,AF$3)&gt;TODAY(),"",IF(COUNTIFS(sales_logs!$B:$B,$A17,sales_logs!$C:$C,DATE($C$1,$E$1,AF$3),sales_logs!$I:$I,TRUE)&gt;0,"중복확인",IF(COUNTIFS(sales_logs!$B:$B,$A17,sales_logs!$C:$C,DATE($C$1,$E$1,AF$3),sales_logs!$D:$D,"휴무",sales_logs!$I:$I,FALSE)&gt;0,"휴무",IF(COUNTIFS(sales_logs!$B:$B,$A17,sales_logs!$C:$C,DATE($C$1,$E$1,AF$3),sales_logs!$I:$I,FALSE)=0,"미입력",SUMIFS(sales_logs!$E:$E,sales_logs!$B:$B,$A17,sales_logs!$C:$C,DATE($C$1,$E$1,AF$3),sales_logs!$D:$D,"영업",sales_logs!$I:$I,FALSE)))))))</f>
        <v/>
      </c>
      <c r="AG17">
        <f>IF($A17="","",IF(MONTH(DATE($C$1,$E$1,AG$3))&lt;&gt;$E$1,"---",IF(DATE($C$1,$E$1,AG$3)&gt;TODAY(),"",IF(COUNTIFS(sales_logs!$B:$B,$A17,sales_logs!$C:$C,DATE($C$1,$E$1,AG$3),sales_logs!$I:$I,TRUE)&gt;0,"중복확인",IF(COUNTIFS(sales_logs!$B:$B,$A17,sales_logs!$C:$C,DATE($C$1,$E$1,AG$3),sales_logs!$D:$D,"휴무",sales_logs!$I:$I,FALSE)&gt;0,"휴무",IF(COUNTIFS(sales_logs!$B:$B,$A17,sales_logs!$C:$C,DATE($C$1,$E$1,AG$3),sales_logs!$I:$I,FALSE)=0,"미입력",SUMIFS(sales_logs!$E:$E,sales_logs!$B:$B,$A17,sales_logs!$C:$C,DATE($C$1,$E$1,AG$3),sales_logs!$D:$D,"영업",sales_logs!$I:$I,FALSE)))))))</f>
        <v/>
      </c>
      <c r="AH17">
        <f>IF($A17="","",IF(MONTH(DATE($C$1,$E$1,AH$3))&lt;&gt;$E$1,"---",IF(DATE($C$1,$E$1,AH$3)&gt;TODAY(),"",IF(COUNTIFS(sales_logs!$B:$B,$A17,sales_logs!$C:$C,DATE($C$1,$E$1,AH$3),sales_logs!$I:$I,TRUE)&gt;0,"중복확인",IF(COUNTIFS(sales_logs!$B:$B,$A17,sales_logs!$C:$C,DATE($C$1,$E$1,AH$3),sales_logs!$D:$D,"휴무",sales_logs!$I:$I,FALSE)&gt;0,"휴무",IF(COUNTIFS(sales_logs!$B:$B,$A17,sales_logs!$C:$C,DATE($C$1,$E$1,AH$3),sales_logs!$I:$I,FALSE)=0,"미입력",SUMIFS(sales_logs!$E:$E,sales_logs!$B:$B,$A17,sales_logs!$C:$C,DATE($C$1,$E$1,AH$3),sales_logs!$D:$D,"영업",sales_logs!$I:$I,FALSE)))))))</f>
        <v/>
      </c>
      <c r="AI17">
        <f>IF($A17="","",IF(MONTH(DATE($C$1,$E$1,AI$3))&lt;&gt;$E$1,"---",IF(DATE($C$1,$E$1,AI$3)&gt;TODAY(),"",IF(COUNTIFS(sales_logs!$B:$B,$A17,sales_logs!$C:$C,DATE($C$1,$E$1,AI$3),sales_logs!$I:$I,TRUE)&gt;0,"중복확인",IF(COUNTIFS(sales_logs!$B:$B,$A17,sales_logs!$C:$C,DATE($C$1,$E$1,AI$3),sales_logs!$D:$D,"휴무",sales_logs!$I:$I,FALSE)&gt;0,"휴무",IF(COUNTIFS(sales_logs!$B:$B,$A17,sales_logs!$C:$C,DATE($C$1,$E$1,AI$3),sales_logs!$I:$I,FALSE)=0,"미입력",SUMIFS(sales_logs!$E:$E,sales_logs!$B:$B,$A17,sales_logs!$C:$C,DATE($C$1,$E$1,AI$3),sales_logs!$D:$D,"영업",sales_logs!$I:$I,FALSE)))))))</f>
        <v/>
      </c>
      <c r="AJ17">
        <f>IF($A17="","",IF(MONTH(DATE($C$1,$E$1,AJ$3))&lt;&gt;$E$1,"---",IF(DATE($C$1,$E$1,AJ$3)&gt;TODAY(),"",IF(COUNTIFS(sales_logs!$B:$B,$A17,sales_logs!$C:$C,DATE($C$1,$E$1,AJ$3),sales_logs!$I:$I,TRUE)&gt;0,"중복확인",IF(COUNTIFS(sales_logs!$B:$B,$A17,sales_logs!$C:$C,DATE($C$1,$E$1,AJ$3),sales_logs!$D:$D,"휴무",sales_logs!$I:$I,FALSE)&gt;0,"휴무",IF(COUNTIFS(sales_logs!$B:$B,$A17,sales_logs!$C:$C,DATE($C$1,$E$1,AJ$3),sales_logs!$I:$I,FALSE)=0,"미입력",SUMIFS(sales_logs!$E:$E,sales_logs!$B:$B,$A17,sales_logs!$C:$C,DATE($C$1,$E$1,AJ$3),sales_logs!$D:$D,"영업",sales_logs!$I:$I,FALSE)))))))</f>
        <v/>
      </c>
      <c r="AK17">
        <f>IF($A17="","",IF(MONTH(DATE($C$1,$E$1,AK$3))&lt;&gt;$E$1,"---",IF(DATE($C$1,$E$1,AK$3)&gt;TODAY(),"",IF(COUNTIFS(sales_logs!$B:$B,$A17,sales_logs!$C:$C,DATE($C$1,$E$1,AK$3),sales_logs!$I:$I,TRUE)&gt;0,"중복확인",IF(COUNTIFS(sales_logs!$B:$B,$A17,sales_logs!$C:$C,DATE($C$1,$E$1,AK$3),sales_logs!$D:$D,"휴무",sales_logs!$I:$I,FALSE)&gt;0,"휴무",IF(COUNTIFS(sales_logs!$B:$B,$A17,sales_logs!$C:$C,DATE($C$1,$E$1,AK$3),sales_logs!$I:$I,FALSE)=0,"미입력",SUMIFS(sales_logs!$E:$E,sales_logs!$B:$B,$A17,sales_logs!$C:$C,DATE($C$1,$E$1,AK$3),sales_logs!$D:$D,"영업",sales_logs!$I:$I,FALSE)))))))</f>
        <v/>
      </c>
      <c r="AL17">
        <f>IF($A17="","",IF(MONTH(DATE($C$1,$E$1,AL$3))&lt;&gt;$E$1,"---",IF(DATE($C$1,$E$1,AL$3)&gt;TODAY(),"",IF(COUNTIFS(sales_logs!$B:$B,$A17,sales_logs!$C:$C,DATE($C$1,$E$1,AL$3),sales_logs!$I:$I,TRUE)&gt;0,"중복확인",IF(COUNTIFS(sales_logs!$B:$B,$A17,sales_logs!$C:$C,DATE($C$1,$E$1,AL$3),sales_logs!$D:$D,"휴무",sales_logs!$I:$I,FALSE)&gt;0,"휴무",IF(COUNTIFS(sales_logs!$B:$B,$A17,sales_logs!$C:$C,DATE($C$1,$E$1,AL$3),sales_logs!$I:$I,FALSE)=0,"미입력",SUMIFS(sales_logs!$E:$E,sales_logs!$B:$B,$A17,sales_logs!$C:$C,DATE($C$1,$E$1,AL$3),sales_logs!$D:$D,"영업",sales_logs!$I:$I,FALSE)))))))</f>
        <v/>
      </c>
      <c r="AM17">
        <f>IF($A17="","",IF(MONTH(DATE($C$1,$E$1,AM$3))&lt;&gt;$E$1,"---",IF(DATE($C$1,$E$1,AM$3)&gt;TODAY(),"",IF(COUNTIFS(sales_logs!$B:$B,$A17,sales_logs!$C:$C,DATE($C$1,$E$1,AM$3),sales_logs!$I:$I,TRUE)&gt;0,"중복확인",IF(COUNTIFS(sales_logs!$B:$B,$A17,sales_logs!$C:$C,DATE($C$1,$E$1,AM$3),sales_logs!$D:$D,"휴무",sales_logs!$I:$I,FALSE)&gt;0,"휴무",IF(COUNTIFS(sales_logs!$B:$B,$A17,sales_logs!$C:$C,DATE($C$1,$E$1,AM$3),sales_logs!$I:$I,FALSE)=0,"미입력",SUMIFS(sales_logs!$E:$E,sales_logs!$B:$B,$A17,sales_logs!$C:$C,DATE($C$1,$E$1,AM$3),sales_logs!$D:$D,"영업",sales_logs!$I:$I,FALSE)))))))</f>
        <v/>
      </c>
      <c r="AN17">
        <f>IF($A17="","",IF(MONTH(DATE($C$1,$E$1,AN$3))&lt;&gt;$E$1,"---",IF(DATE($C$1,$E$1,AN$3)&gt;TODAY(),"",IF(COUNTIFS(sales_logs!$B:$B,$A17,sales_logs!$C:$C,DATE($C$1,$E$1,AN$3),sales_logs!$I:$I,TRUE)&gt;0,"중복확인",IF(COUNTIFS(sales_logs!$B:$B,$A17,sales_logs!$C:$C,DATE($C$1,$E$1,AN$3),sales_logs!$D:$D,"휴무",sales_logs!$I:$I,FALSE)&gt;0,"휴무",IF(COUNTIFS(sales_logs!$B:$B,$A17,sales_logs!$C:$C,DATE($C$1,$E$1,AN$3),sales_logs!$I:$I,FALSE)=0,"미입력",SUMIFS(sales_logs!$E:$E,sales_logs!$B:$B,$A17,sales_logs!$C:$C,DATE($C$1,$E$1,AN$3),sales_logs!$D:$D,"영업",sales_logs!$I:$I,FALSE)))))))</f>
        <v/>
      </c>
      <c r="AO17">
        <f>IF($A17="","",IF(MONTH(DATE($C$1,$E$1,AO$3))&lt;&gt;$E$1,"---",IF(DATE($C$1,$E$1,AO$3)&gt;TODAY(),"",IF(COUNTIFS(sales_logs!$B:$B,$A17,sales_logs!$C:$C,DATE($C$1,$E$1,AO$3),sales_logs!$I:$I,TRUE)&gt;0,"중복확인",IF(COUNTIFS(sales_logs!$B:$B,$A17,sales_logs!$C:$C,DATE($C$1,$E$1,AO$3),sales_logs!$D:$D,"휴무",sales_logs!$I:$I,FALSE)&gt;0,"휴무",IF(COUNTIFS(sales_logs!$B:$B,$A17,sales_logs!$C:$C,DATE($C$1,$E$1,AO$3),sales_logs!$I:$I,FALSE)=0,"미입력",SUMIFS(sales_logs!$E:$E,sales_logs!$B:$B,$A17,sales_logs!$C:$C,DATE($C$1,$E$1,AO$3),sales_logs!$D:$D,"영업",sales_logs!$I:$I,FALSE)))))))</f>
        <v/>
      </c>
    </row>
    <row r="18">
      <c r="A18">
        <f>IFERROR(INDEX(FILTER(stores!$A$2:$A,stores!$G$2:$G="active"),ROW()-3),"")</f>
        <v/>
      </c>
      <c r="B18">
        <f>IF($A18="","",VLOOKUP($A18,stores!$A:$B,2,0))</f>
        <v/>
      </c>
      <c r="C18">
        <f>IF($A18="","",VLOOKUP($A18,stores!$A:$C,3,0))</f>
        <v/>
      </c>
      <c r="D18">
        <f>IF($A18="","",IF(DATE($C$1,$E$1,1)&gt;TODAY(),0,IFERROR(COUNTUNIQUE(FILTER(sales_logs!$C$2:$C$1000,sales_logs!$B$2:$B$1000=$A18,sales_logs!$C$2:$C$1000&gt;=DATE($C$1,$E$1,1),sales_logs!$C$2:$C$1000&lt;=MIN(TODAY(),EOMONTH(DATE($C$1,$E$1,1),0)),sales_logs!$I$2:$I$1000=FALSE))/DAY(MIN(TODAY(),EOMONTH(DATE($C$1,$E$1,1),0))),0)))</f>
        <v/>
      </c>
      <c r="E18">
        <f>IF($A18="","",IF(DATE($C$1,$E$1,1)&gt;TODAY(),0,DAY(MIN(TODAY(),EOMONTH(DATE($C$1,$E$1,1),0)))-IFERROR(COUNTUNIQUE(FILTER(sales_logs!$C$2:$C$1000,sales_logs!$B$2:$B$1000=$A18,sales_logs!$C$2:$C$1000&gt;=DATE($C$1,$E$1,1),sales_logs!$C$2:$C$1000&lt;=MIN(TODAY(),EOMONTH(DATE($C$1,$E$1,1),0)),sales_logs!$I$2:$I$1000=FALSE)),0)))</f>
        <v/>
      </c>
      <c r="F18">
        <f>IF($A18="","",COUNTIFS(sales_logs!$B:$B,$A18,sales_logs!$C:$C,"&gt;="&amp;DATE($C$1,$E$1,1),sales_logs!$C:$C,"&lt;="&amp;EOMONTH(DATE($C$1,$E$1,1),0),sales_logs!$D:$D,"휴무",sales_logs!$I:$I,FALSE))</f>
        <v/>
      </c>
      <c r="G18">
        <f>IF($A18="","",COUNTIFS(sales_logs!$B:$B,$A18,sales_logs!$C:$C,"&gt;="&amp;DATE($C$1,$E$1,1),sales_logs!$C:$C,"&lt;="&amp;EOMONTH(DATE($C$1,$E$1,1),0),sales_logs!$D:$D,"영업",sales_logs!$I:$I,FALSE))</f>
        <v/>
      </c>
      <c r="H18">
        <f>IF($A18="","",SUMIFS(sales_logs!$E:$E,sales_logs!$B:$B,$A18,sales_logs!$C:$C,"&gt;="&amp;DATE($C$1,$E$1,1),sales_logs!$C:$C,"&lt;="&amp;EOMONTH(DATE($C$1,$E$1,1),0),sales_logs!$D:$D,"영업",sales_logs!$I:$I,FALSE))</f>
        <v/>
      </c>
      <c r="I18">
        <f>IF(OR($A18="",G18=0),"",H18/G18)</f>
        <v/>
      </c>
      <c r="J18">
        <f>IF($A18="","",LET(cur_end, MIN(TODAY(),EOMONTH(DATE($C$1,$E$1,1),0)),cmp_day, DAY(cur_end),prev_start, DATE($C$1,$E$1-1,1),prev_end, MIN(DATE($C$1,$E$1-1,cmp_day),EOMONTH(DATE($C$1,$E$1-1,1),0)),cur_sales, SUMIFS(sales_logs!$E:$E,sales_logs!$B:$B,$A18,sales_logs!$C:$C,"&gt;="&amp;DATE($C$1,$E$1,1),sales_logs!$C:$C,"&lt;="&amp;cur_end,sales_logs!$D:$D,"영업",sales_logs!$I:$I,FALSE),prev_sales, SUMIFS(sales_logs!$E:$E,sales_logs!$B:$B,$A18,sales_logs!$C:$C,"&gt;="&amp;prev_start,sales_logs!$C:$C,"&lt;="&amp;prev_end,sales_logs!$D:$D,"영업",sales_logs!$I:$I,FALSE),IF(prev_sales=0,"데이터부족",(cur_sales-prev_sales)/prev_sales)))</f>
        <v/>
      </c>
      <c r="K18">
        <f>IF($A18="","",IF(MONTH(DATE($C$1,$E$1,K$3))&lt;&gt;$E$1,"---",IF(DATE($C$1,$E$1,K$3)&gt;TODAY(),"",IF(COUNTIFS(sales_logs!$B:$B,$A18,sales_logs!$C:$C,DATE($C$1,$E$1,K$3),sales_logs!$I:$I,TRUE)&gt;0,"중복확인",IF(COUNTIFS(sales_logs!$B:$B,$A18,sales_logs!$C:$C,DATE($C$1,$E$1,K$3),sales_logs!$D:$D,"휴무",sales_logs!$I:$I,FALSE)&gt;0,"휴무",IF(COUNTIFS(sales_logs!$B:$B,$A18,sales_logs!$C:$C,DATE($C$1,$E$1,K$3),sales_logs!$I:$I,FALSE)=0,"미입력",SUMIFS(sales_logs!$E:$E,sales_logs!$B:$B,$A18,sales_logs!$C:$C,DATE($C$1,$E$1,K$3),sales_logs!$D:$D,"영업",sales_logs!$I:$I,FALSE)))))))</f>
        <v/>
      </c>
      <c r="L18">
        <f>IF($A18="","",IF(MONTH(DATE($C$1,$E$1,L$3))&lt;&gt;$E$1,"---",IF(DATE($C$1,$E$1,L$3)&gt;TODAY(),"",IF(COUNTIFS(sales_logs!$B:$B,$A18,sales_logs!$C:$C,DATE($C$1,$E$1,L$3),sales_logs!$I:$I,TRUE)&gt;0,"중복확인",IF(COUNTIFS(sales_logs!$B:$B,$A18,sales_logs!$C:$C,DATE($C$1,$E$1,L$3),sales_logs!$D:$D,"휴무",sales_logs!$I:$I,FALSE)&gt;0,"휴무",IF(COUNTIFS(sales_logs!$B:$B,$A18,sales_logs!$C:$C,DATE($C$1,$E$1,L$3),sales_logs!$I:$I,FALSE)=0,"미입력",SUMIFS(sales_logs!$E:$E,sales_logs!$B:$B,$A18,sales_logs!$C:$C,DATE($C$1,$E$1,L$3),sales_logs!$D:$D,"영업",sales_logs!$I:$I,FALSE)))))))</f>
        <v/>
      </c>
      <c r="M18">
        <f>IF($A18="","",IF(MONTH(DATE($C$1,$E$1,M$3))&lt;&gt;$E$1,"---",IF(DATE($C$1,$E$1,M$3)&gt;TODAY(),"",IF(COUNTIFS(sales_logs!$B:$B,$A18,sales_logs!$C:$C,DATE($C$1,$E$1,M$3),sales_logs!$I:$I,TRUE)&gt;0,"중복확인",IF(COUNTIFS(sales_logs!$B:$B,$A18,sales_logs!$C:$C,DATE($C$1,$E$1,M$3),sales_logs!$D:$D,"휴무",sales_logs!$I:$I,FALSE)&gt;0,"휴무",IF(COUNTIFS(sales_logs!$B:$B,$A18,sales_logs!$C:$C,DATE($C$1,$E$1,M$3),sales_logs!$I:$I,FALSE)=0,"미입력",SUMIFS(sales_logs!$E:$E,sales_logs!$B:$B,$A18,sales_logs!$C:$C,DATE($C$1,$E$1,M$3),sales_logs!$D:$D,"영업",sales_logs!$I:$I,FALSE)))))))</f>
        <v/>
      </c>
      <c r="N18">
        <f>IF($A18="","",IF(MONTH(DATE($C$1,$E$1,N$3))&lt;&gt;$E$1,"---",IF(DATE($C$1,$E$1,N$3)&gt;TODAY(),"",IF(COUNTIFS(sales_logs!$B:$B,$A18,sales_logs!$C:$C,DATE($C$1,$E$1,N$3),sales_logs!$I:$I,TRUE)&gt;0,"중복확인",IF(COUNTIFS(sales_logs!$B:$B,$A18,sales_logs!$C:$C,DATE($C$1,$E$1,N$3),sales_logs!$D:$D,"휴무",sales_logs!$I:$I,FALSE)&gt;0,"휴무",IF(COUNTIFS(sales_logs!$B:$B,$A18,sales_logs!$C:$C,DATE($C$1,$E$1,N$3),sales_logs!$I:$I,FALSE)=0,"미입력",SUMIFS(sales_logs!$E:$E,sales_logs!$B:$B,$A18,sales_logs!$C:$C,DATE($C$1,$E$1,N$3),sales_logs!$D:$D,"영업",sales_logs!$I:$I,FALSE)))))))</f>
        <v/>
      </c>
      <c r="O18">
        <f>IF($A18="","",IF(MONTH(DATE($C$1,$E$1,O$3))&lt;&gt;$E$1,"---",IF(DATE($C$1,$E$1,O$3)&gt;TODAY(),"",IF(COUNTIFS(sales_logs!$B:$B,$A18,sales_logs!$C:$C,DATE($C$1,$E$1,O$3),sales_logs!$I:$I,TRUE)&gt;0,"중복확인",IF(COUNTIFS(sales_logs!$B:$B,$A18,sales_logs!$C:$C,DATE($C$1,$E$1,O$3),sales_logs!$D:$D,"휴무",sales_logs!$I:$I,FALSE)&gt;0,"휴무",IF(COUNTIFS(sales_logs!$B:$B,$A18,sales_logs!$C:$C,DATE($C$1,$E$1,O$3),sales_logs!$I:$I,FALSE)=0,"미입력",SUMIFS(sales_logs!$E:$E,sales_logs!$B:$B,$A18,sales_logs!$C:$C,DATE($C$1,$E$1,O$3),sales_logs!$D:$D,"영업",sales_logs!$I:$I,FALSE)))))))</f>
        <v/>
      </c>
      <c r="P18">
        <f>IF($A18="","",IF(MONTH(DATE($C$1,$E$1,P$3))&lt;&gt;$E$1,"---",IF(DATE($C$1,$E$1,P$3)&gt;TODAY(),"",IF(COUNTIFS(sales_logs!$B:$B,$A18,sales_logs!$C:$C,DATE($C$1,$E$1,P$3),sales_logs!$I:$I,TRUE)&gt;0,"중복확인",IF(COUNTIFS(sales_logs!$B:$B,$A18,sales_logs!$C:$C,DATE($C$1,$E$1,P$3),sales_logs!$D:$D,"휴무",sales_logs!$I:$I,FALSE)&gt;0,"휴무",IF(COUNTIFS(sales_logs!$B:$B,$A18,sales_logs!$C:$C,DATE($C$1,$E$1,P$3),sales_logs!$I:$I,FALSE)=0,"미입력",SUMIFS(sales_logs!$E:$E,sales_logs!$B:$B,$A18,sales_logs!$C:$C,DATE($C$1,$E$1,P$3),sales_logs!$D:$D,"영업",sales_logs!$I:$I,FALSE)))))))</f>
        <v/>
      </c>
      <c r="Q18">
        <f>IF($A18="","",IF(MONTH(DATE($C$1,$E$1,Q$3))&lt;&gt;$E$1,"---",IF(DATE($C$1,$E$1,Q$3)&gt;TODAY(),"",IF(COUNTIFS(sales_logs!$B:$B,$A18,sales_logs!$C:$C,DATE($C$1,$E$1,Q$3),sales_logs!$I:$I,TRUE)&gt;0,"중복확인",IF(COUNTIFS(sales_logs!$B:$B,$A18,sales_logs!$C:$C,DATE($C$1,$E$1,Q$3),sales_logs!$D:$D,"휴무",sales_logs!$I:$I,FALSE)&gt;0,"휴무",IF(COUNTIFS(sales_logs!$B:$B,$A18,sales_logs!$C:$C,DATE($C$1,$E$1,Q$3),sales_logs!$I:$I,FALSE)=0,"미입력",SUMIFS(sales_logs!$E:$E,sales_logs!$B:$B,$A18,sales_logs!$C:$C,DATE($C$1,$E$1,Q$3),sales_logs!$D:$D,"영업",sales_logs!$I:$I,FALSE)))))))</f>
        <v/>
      </c>
      <c r="R18">
        <f>IF($A18="","",IF(MONTH(DATE($C$1,$E$1,R$3))&lt;&gt;$E$1,"---",IF(DATE($C$1,$E$1,R$3)&gt;TODAY(),"",IF(COUNTIFS(sales_logs!$B:$B,$A18,sales_logs!$C:$C,DATE($C$1,$E$1,R$3),sales_logs!$I:$I,TRUE)&gt;0,"중복확인",IF(COUNTIFS(sales_logs!$B:$B,$A18,sales_logs!$C:$C,DATE($C$1,$E$1,R$3),sales_logs!$D:$D,"휴무",sales_logs!$I:$I,FALSE)&gt;0,"휴무",IF(COUNTIFS(sales_logs!$B:$B,$A18,sales_logs!$C:$C,DATE($C$1,$E$1,R$3),sales_logs!$I:$I,FALSE)=0,"미입력",SUMIFS(sales_logs!$E:$E,sales_logs!$B:$B,$A18,sales_logs!$C:$C,DATE($C$1,$E$1,R$3),sales_logs!$D:$D,"영업",sales_logs!$I:$I,FALSE)))))))</f>
        <v/>
      </c>
      <c r="S18">
        <f>IF($A18="","",IF(MONTH(DATE($C$1,$E$1,S$3))&lt;&gt;$E$1,"---",IF(DATE($C$1,$E$1,S$3)&gt;TODAY(),"",IF(COUNTIFS(sales_logs!$B:$B,$A18,sales_logs!$C:$C,DATE($C$1,$E$1,S$3),sales_logs!$I:$I,TRUE)&gt;0,"중복확인",IF(COUNTIFS(sales_logs!$B:$B,$A18,sales_logs!$C:$C,DATE($C$1,$E$1,S$3),sales_logs!$D:$D,"휴무",sales_logs!$I:$I,FALSE)&gt;0,"휴무",IF(COUNTIFS(sales_logs!$B:$B,$A18,sales_logs!$C:$C,DATE($C$1,$E$1,S$3),sales_logs!$I:$I,FALSE)=0,"미입력",SUMIFS(sales_logs!$E:$E,sales_logs!$B:$B,$A18,sales_logs!$C:$C,DATE($C$1,$E$1,S$3),sales_logs!$D:$D,"영업",sales_logs!$I:$I,FALSE)))))))</f>
        <v/>
      </c>
      <c r="T18">
        <f>IF($A18="","",IF(MONTH(DATE($C$1,$E$1,T$3))&lt;&gt;$E$1,"---",IF(DATE($C$1,$E$1,T$3)&gt;TODAY(),"",IF(COUNTIFS(sales_logs!$B:$B,$A18,sales_logs!$C:$C,DATE($C$1,$E$1,T$3),sales_logs!$I:$I,TRUE)&gt;0,"중복확인",IF(COUNTIFS(sales_logs!$B:$B,$A18,sales_logs!$C:$C,DATE($C$1,$E$1,T$3),sales_logs!$D:$D,"휴무",sales_logs!$I:$I,FALSE)&gt;0,"휴무",IF(COUNTIFS(sales_logs!$B:$B,$A18,sales_logs!$C:$C,DATE($C$1,$E$1,T$3),sales_logs!$I:$I,FALSE)=0,"미입력",SUMIFS(sales_logs!$E:$E,sales_logs!$B:$B,$A18,sales_logs!$C:$C,DATE($C$1,$E$1,T$3),sales_logs!$D:$D,"영업",sales_logs!$I:$I,FALSE)))))))</f>
        <v/>
      </c>
      <c r="U18">
        <f>IF($A18="","",IF(MONTH(DATE($C$1,$E$1,U$3))&lt;&gt;$E$1,"---",IF(DATE($C$1,$E$1,U$3)&gt;TODAY(),"",IF(COUNTIFS(sales_logs!$B:$B,$A18,sales_logs!$C:$C,DATE($C$1,$E$1,U$3),sales_logs!$I:$I,TRUE)&gt;0,"중복확인",IF(COUNTIFS(sales_logs!$B:$B,$A18,sales_logs!$C:$C,DATE($C$1,$E$1,U$3),sales_logs!$D:$D,"휴무",sales_logs!$I:$I,FALSE)&gt;0,"휴무",IF(COUNTIFS(sales_logs!$B:$B,$A18,sales_logs!$C:$C,DATE($C$1,$E$1,U$3),sales_logs!$I:$I,FALSE)=0,"미입력",SUMIFS(sales_logs!$E:$E,sales_logs!$B:$B,$A18,sales_logs!$C:$C,DATE($C$1,$E$1,U$3),sales_logs!$D:$D,"영업",sales_logs!$I:$I,FALSE)))))))</f>
        <v/>
      </c>
      <c r="V18">
        <f>IF($A18="","",IF(MONTH(DATE($C$1,$E$1,V$3))&lt;&gt;$E$1,"---",IF(DATE($C$1,$E$1,V$3)&gt;TODAY(),"",IF(COUNTIFS(sales_logs!$B:$B,$A18,sales_logs!$C:$C,DATE($C$1,$E$1,V$3),sales_logs!$I:$I,TRUE)&gt;0,"중복확인",IF(COUNTIFS(sales_logs!$B:$B,$A18,sales_logs!$C:$C,DATE($C$1,$E$1,V$3),sales_logs!$D:$D,"휴무",sales_logs!$I:$I,FALSE)&gt;0,"휴무",IF(COUNTIFS(sales_logs!$B:$B,$A18,sales_logs!$C:$C,DATE($C$1,$E$1,V$3),sales_logs!$I:$I,FALSE)=0,"미입력",SUMIFS(sales_logs!$E:$E,sales_logs!$B:$B,$A18,sales_logs!$C:$C,DATE($C$1,$E$1,V$3),sales_logs!$D:$D,"영업",sales_logs!$I:$I,FALSE)))))))</f>
        <v/>
      </c>
      <c r="W18">
        <f>IF($A18="","",IF(MONTH(DATE($C$1,$E$1,W$3))&lt;&gt;$E$1,"---",IF(DATE($C$1,$E$1,W$3)&gt;TODAY(),"",IF(COUNTIFS(sales_logs!$B:$B,$A18,sales_logs!$C:$C,DATE($C$1,$E$1,W$3),sales_logs!$I:$I,TRUE)&gt;0,"중복확인",IF(COUNTIFS(sales_logs!$B:$B,$A18,sales_logs!$C:$C,DATE($C$1,$E$1,W$3),sales_logs!$D:$D,"휴무",sales_logs!$I:$I,FALSE)&gt;0,"휴무",IF(COUNTIFS(sales_logs!$B:$B,$A18,sales_logs!$C:$C,DATE($C$1,$E$1,W$3),sales_logs!$I:$I,FALSE)=0,"미입력",SUMIFS(sales_logs!$E:$E,sales_logs!$B:$B,$A18,sales_logs!$C:$C,DATE($C$1,$E$1,W$3),sales_logs!$D:$D,"영업",sales_logs!$I:$I,FALSE)))))))</f>
        <v/>
      </c>
      <c r="X18">
        <f>IF($A18="","",IF(MONTH(DATE($C$1,$E$1,X$3))&lt;&gt;$E$1,"---",IF(DATE($C$1,$E$1,X$3)&gt;TODAY(),"",IF(COUNTIFS(sales_logs!$B:$B,$A18,sales_logs!$C:$C,DATE($C$1,$E$1,X$3),sales_logs!$I:$I,TRUE)&gt;0,"중복확인",IF(COUNTIFS(sales_logs!$B:$B,$A18,sales_logs!$C:$C,DATE($C$1,$E$1,X$3),sales_logs!$D:$D,"휴무",sales_logs!$I:$I,FALSE)&gt;0,"휴무",IF(COUNTIFS(sales_logs!$B:$B,$A18,sales_logs!$C:$C,DATE($C$1,$E$1,X$3),sales_logs!$I:$I,FALSE)=0,"미입력",SUMIFS(sales_logs!$E:$E,sales_logs!$B:$B,$A18,sales_logs!$C:$C,DATE($C$1,$E$1,X$3),sales_logs!$D:$D,"영업",sales_logs!$I:$I,FALSE)))))))</f>
        <v/>
      </c>
      <c r="Y18">
        <f>IF($A18="","",IF(MONTH(DATE($C$1,$E$1,Y$3))&lt;&gt;$E$1,"---",IF(DATE($C$1,$E$1,Y$3)&gt;TODAY(),"",IF(COUNTIFS(sales_logs!$B:$B,$A18,sales_logs!$C:$C,DATE($C$1,$E$1,Y$3),sales_logs!$I:$I,TRUE)&gt;0,"중복확인",IF(COUNTIFS(sales_logs!$B:$B,$A18,sales_logs!$C:$C,DATE($C$1,$E$1,Y$3),sales_logs!$D:$D,"휴무",sales_logs!$I:$I,FALSE)&gt;0,"휴무",IF(COUNTIFS(sales_logs!$B:$B,$A18,sales_logs!$C:$C,DATE($C$1,$E$1,Y$3),sales_logs!$I:$I,FALSE)=0,"미입력",SUMIFS(sales_logs!$E:$E,sales_logs!$B:$B,$A18,sales_logs!$C:$C,DATE($C$1,$E$1,Y$3),sales_logs!$D:$D,"영업",sales_logs!$I:$I,FALSE)))))))</f>
        <v/>
      </c>
      <c r="Z18">
        <f>IF($A18="","",IF(MONTH(DATE($C$1,$E$1,Z$3))&lt;&gt;$E$1,"---",IF(DATE($C$1,$E$1,Z$3)&gt;TODAY(),"",IF(COUNTIFS(sales_logs!$B:$B,$A18,sales_logs!$C:$C,DATE($C$1,$E$1,Z$3),sales_logs!$I:$I,TRUE)&gt;0,"중복확인",IF(COUNTIFS(sales_logs!$B:$B,$A18,sales_logs!$C:$C,DATE($C$1,$E$1,Z$3),sales_logs!$D:$D,"휴무",sales_logs!$I:$I,FALSE)&gt;0,"휴무",IF(COUNTIFS(sales_logs!$B:$B,$A18,sales_logs!$C:$C,DATE($C$1,$E$1,Z$3),sales_logs!$I:$I,FALSE)=0,"미입력",SUMIFS(sales_logs!$E:$E,sales_logs!$B:$B,$A18,sales_logs!$C:$C,DATE($C$1,$E$1,Z$3),sales_logs!$D:$D,"영업",sales_logs!$I:$I,FALSE)))))))</f>
        <v/>
      </c>
      <c r="AA18">
        <f>IF($A18="","",IF(MONTH(DATE($C$1,$E$1,AA$3))&lt;&gt;$E$1,"---",IF(DATE($C$1,$E$1,AA$3)&gt;TODAY(),"",IF(COUNTIFS(sales_logs!$B:$B,$A18,sales_logs!$C:$C,DATE($C$1,$E$1,AA$3),sales_logs!$I:$I,TRUE)&gt;0,"중복확인",IF(COUNTIFS(sales_logs!$B:$B,$A18,sales_logs!$C:$C,DATE($C$1,$E$1,AA$3),sales_logs!$D:$D,"휴무",sales_logs!$I:$I,FALSE)&gt;0,"휴무",IF(COUNTIFS(sales_logs!$B:$B,$A18,sales_logs!$C:$C,DATE($C$1,$E$1,AA$3),sales_logs!$I:$I,FALSE)=0,"미입력",SUMIFS(sales_logs!$E:$E,sales_logs!$B:$B,$A18,sales_logs!$C:$C,DATE($C$1,$E$1,AA$3),sales_logs!$D:$D,"영업",sales_logs!$I:$I,FALSE)))))))</f>
        <v/>
      </c>
      <c r="AB18">
        <f>IF($A18="","",IF(MONTH(DATE($C$1,$E$1,AB$3))&lt;&gt;$E$1,"---",IF(DATE($C$1,$E$1,AB$3)&gt;TODAY(),"",IF(COUNTIFS(sales_logs!$B:$B,$A18,sales_logs!$C:$C,DATE($C$1,$E$1,AB$3),sales_logs!$I:$I,TRUE)&gt;0,"중복확인",IF(COUNTIFS(sales_logs!$B:$B,$A18,sales_logs!$C:$C,DATE($C$1,$E$1,AB$3),sales_logs!$D:$D,"휴무",sales_logs!$I:$I,FALSE)&gt;0,"휴무",IF(COUNTIFS(sales_logs!$B:$B,$A18,sales_logs!$C:$C,DATE($C$1,$E$1,AB$3),sales_logs!$I:$I,FALSE)=0,"미입력",SUMIFS(sales_logs!$E:$E,sales_logs!$B:$B,$A18,sales_logs!$C:$C,DATE($C$1,$E$1,AB$3),sales_logs!$D:$D,"영업",sales_logs!$I:$I,FALSE)))))))</f>
        <v/>
      </c>
      <c r="AC18">
        <f>IF($A18="","",IF(MONTH(DATE($C$1,$E$1,AC$3))&lt;&gt;$E$1,"---",IF(DATE($C$1,$E$1,AC$3)&gt;TODAY(),"",IF(COUNTIFS(sales_logs!$B:$B,$A18,sales_logs!$C:$C,DATE($C$1,$E$1,AC$3),sales_logs!$I:$I,TRUE)&gt;0,"중복확인",IF(COUNTIFS(sales_logs!$B:$B,$A18,sales_logs!$C:$C,DATE($C$1,$E$1,AC$3),sales_logs!$D:$D,"휴무",sales_logs!$I:$I,FALSE)&gt;0,"휴무",IF(COUNTIFS(sales_logs!$B:$B,$A18,sales_logs!$C:$C,DATE($C$1,$E$1,AC$3),sales_logs!$I:$I,FALSE)=0,"미입력",SUMIFS(sales_logs!$E:$E,sales_logs!$B:$B,$A18,sales_logs!$C:$C,DATE($C$1,$E$1,AC$3),sales_logs!$D:$D,"영업",sales_logs!$I:$I,FALSE)))))))</f>
        <v/>
      </c>
      <c r="AD18">
        <f>IF($A18="","",IF(MONTH(DATE($C$1,$E$1,AD$3))&lt;&gt;$E$1,"---",IF(DATE($C$1,$E$1,AD$3)&gt;TODAY(),"",IF(COUNTIFS(sales_logs!$B:$B,$A18,sales_logs!$C:$C,DATE($C$1,$E$1,AD$3),sales_logs!$I:$I,TRUE)&gt;0,"중복확인",IF(COUNTIFS(sales_logs!$B:$B,$A18,sales_logs!$C:$C,DATE($C$1,$E$1,AD$3),sales_logs!$D:$D,"휴무",sales_logs!$I:$I,FALSE)&gt;0,"휴무",IF(COUNTIFS(sales_logs!$B:$B,$A18,sales_logs!$C:$C,DATE($C$1,$E$1,AD$3),sales_logs!$I:$I,FALSE)=0,"미입력",SUMIFS(sales_logs!$E:$E,sales_logs!$B:$B,$A18,sales_logs!$C:$C,DATE($C$1,$E$1,AD$3),sales_logs!$D:$D,"영업",sales_logs!$I:$I,FALSE)))))))</f>
        <v/>
      </c>
      <c r="AE18">
        <f>IF($A18="","",IF(MONTH(DATE($C$1,$E$1,AE$3))&lt;&gt;$E$1,"---",IF(DATE($C$1,$E$1,AE$3)&gt;TODAY(),"",IF(COUNTIFS(sales_logs!$B:$B,$A18,sales_logs!$C:$C,DATE($C$1,$E$1,AE$3),sales_logs!$I:$I,TRUE)&gt;0,"중복확인",IF(COUNTIFS(sales_logs!$B:$B,$A18,sales_logs!$C:$C,DATE($C$1,$E$1,AE$3),sales_logs!$D:$D,"휴무",sales_logs!$I:$I,FALSE)&gt;0,"휴무",IF(COUNTIFS(sales_logs!$B:$B,$A18,sales_logs!$C:$C,DATE($C$1,$E$1,AE$3),sales_logs!$I:$I,FALSE)=0,"미입력",SUMIFS(sales_logs!$E:$E,sales_logs!$B:$B,$A18,sales_logs!$C:$C,DATE($C$1,$E$1,AE$3),sales_logs!$D:$D,"영업",sales_logs!$I:$I,FALSE)))))))</f>
        <v/>
      </c>
      <c r="AF18">
        <f>IF($A18="","",IF(MONTH(DATE($C$1,$E$1,AF$3))&lt;&gt;$E$1,"---",IF(DATE($C$1,$E$1,AF$3)&gt;TODAY(),"",IF(COUNTIFS(sales_logs!$B:$B,$A18,sales_logs!$C:$C,DATE($C$1,$E$1,AF$3),sales_logs!$I:$I,TRUE)&gt;0,"중복확인",IF(COUNTIFS(sales_logs!$B:$B,$A18,sales_logs!$C:$C,DATE($C$1,$E$1,AF$3),sales_logs!$D:$D,"휴무",sales_logs!$I:$I,FALSE)&gt;0,"휴무",IF(COUNTIFS(sales_logs!$B:$B,$A18,sales_logs!$C:$C,DATE($C$1,$E$1,AF$3),sales_logs!$I:$I,FALSE)=0,"미입력",SUMIFS(sales_logs!$E:$E,sales_logs!$B:$B,$A18,sales_logs!$C:$C,DATE($C$1,$E$1,AF$3),sales_logs!$D:$D,"영업",sales_logs!$I:$I,FALSE)))))))</f>
        <v/>
      </c>
      <c r="AG18">
        <f>IF($A18="","",IF(MONTH(DATE($C$1,$E$1,AG$3))&lt;&gt;$E$1,"---",IF(DATE($C$1,$E$1,AG$3)&gt;TODAY(),"",IF(COUNTIFS(sales_logs!$B:$B,$A18,sales_logs!$C:$C,DATE($C$1,$E$1,AG$3),sales_logs!$I:$I,TRUE)&gt;0,"중복확인",IF(COUNTIFS(sales_logs!$B:$B,$A18,sales_logs!$C:$C,DATE($C$1,$E$1,AG$3),sales_logs!$D:$D,"휴무",sales_logs!$I:$I,FALSE)&gt;0,"휴무",IF(COUNTIFS(sales_logs!$B:$B,$A18,sales_logs!$C:$C,DATE($C$1,$E$1,AG$3),sales_logs!$I:$I,FALSE)=0,"미입력",SUMIFS(sales_logs!$E:$E,sales_logs!$B:$B,$A18,sales_logs!$C:$C,DATE($C$1,$E$1,AG$3),sales_logs!$D:$D,"영업",sales_logs!$I:$I,FALSE)))))))</f>
        <v/>
      </c>
      <c r="AH18">
        <f>IF($A18="","",IF(MONTH(DATE($C$1,$E$1,AH$3))&lt;&gt;$E$1,"---",IF(DATE($C$1,$E$1,AH$3)&gt;TODAY(),"",IF(COUNTIFS(sales_logs!$B:$B,$A18,sales_logs!$C:$C,DATE($C$1,$E$1,AH$3),sales_logs!$I:$I,TRUE)&gt;0,"중복확인",IF(COUNTIFS(sales_logs!$B:$B,$A18,sales_logs!$C:$C,DATE($C$1,$E$1,AH$3),sales_logs!$D:$D,"휴무",sales_logs!$I:$I,FALSE)&gt;0,"휴무",IF(COUNTIFS(sales_logs!$B:$B,$A18,sales_logs!$C:$C,DATE($C$1,$E$1,AH$3),sales_logs!$I:$I,FALSE)=0,"미입력",SUMIFS(sales_logs!$E:$E,sales_logs!$B:$B,$A18,sales_logs!$C:$C,DATE($C$1,$E$1,AH$3),sales_logs!$D:$D,"영업",sales_logs!$I:$I,FALSE)))))))</f>
        <v/>
      </c>
      <c r="AI18">
        <f>IF($A18="","",IF(MONTH(DATE($C$1,$E$1,AI$3))&lt;&gt;$E$1,"---",IF(DATE($C$1,$E$1,AI$3)&gt;TODAY(),"",IF(COUNTIFS(sales_logs!$B:$B,$A18,sales_logs!$C:$C,DATE($C$1,$E$1,AI$3),sales_logs!$I:$I,TRUE)&gt;0,"중복확인",IF(COUNTIFS(sales_logs!$B:$B,$A18,sales_logs!$C:$C,DATE($C$1,$E$1,AI$3),sales_logs!$D:$D,"휴무",sales_logs!$I:$I,FALSE)&gt;0,"휴무",IF(COUNTIFS(sales_logs!$B:$B,$A18,sales_logs!$C:$C,DATE($C$1,$E$1,AI$3),sales_logs!$I:$I,FALSE)=0,"미입력",SUMIFS(sales_logs!$E:$E,sales_logs!$B:$B,$A18,sales_logs!$C:$C,DATE($C$1,$E$1,AI$3),sales_logs!$D:$D,"영업",sales_logs!$I:$I,FALSE)))))))</f>
        <v/>
      </c>
      <c r="AJ18">
        <f>IF($A18="","",IF(MONTH(DATE($C$1,$E$1,AJ$3))&lt;&gt;$E$1,"---",IF(DATE($C$1,$E$1,AJ$3)&gt;TODAY(),"",IF(COUNTIFS(sales_logs!$B:$B,$A18,sales_logs!$C:$C,DATE($C$1,$E$1,AJ$3),sales_logs!$I:$I,TRUE)&gt;0,"중복확인",IF(COUNTIFS(sales_logs!$B:$B,$A18,sales_logs!$C:$C,DATE($C$1,$E$1,AJ$3),sales_logs!$D:$D,"휴무",sales_logs!$I:$I,FALSE)&gt;0,"휴무",IF(COUNTIFS(sales_logs!$B:$B,$A18,sales_logs!$C:$C,DATE($C$1,$E$1,AJ$3),sales_logs!$I:$I,FALSE)=0,"미입력",SUMIFS(sales_logs!$E:$E,sales_logs!$B:$B,$A18,sales_logs!$C:$C,DATE($C$1,$E$1,AJ$3),sales_logs!$D:$D,"영업",sales_logs!$I:$I,FALSE)))))))</f>
        <v/>
      </c>
      <c r="AK18">
        <f>IF($A18="","",IF(MONTH(DATE($C$1,$E$1,AK$3))&lt;&gt;$E$1,"---",IF(DATE($C$1,$E$1,AK$3)&gt;TODAY(),"",IF(COUNTIFS(sales_logs!$B:$B,$A18,sales_logs!$C:$C,DATE($C$1,$E$1,AK$3),sales_logs!$I:$I,TRUE)&gt;0,"중복확인",IF(COUNTIFS(sales_logs!$B:$B,$A18,sales_logs!$C:$C,DATE($C$1,$E$1,AK$3),sales_logs!$D:$D,"휴무",sales_logs!$I:$I,FALSE)&gt;0,"휴무",IF(COUNTIFS(sales_logs!$B:$B,$A18,sales_logs!$C:$C,DATE($C$1,$E$1,AK$3),sales_logs!$I:$I,FALSE)=0,"미입력",SUMIFS(sales_logs!$E:$E,sales_logs!$B:$B,$A18,sales_logs!$C:$C,DATE($C$1,$E$1,AK$3),sales_logs!$D:$D,"영업",sales_logs!$I:$I,FALSE)))))))</f>
        <v/>
      </c>
      <c r="AL18">
        <f>IF($A18="","",IF(MONTH(DATE($C$1,$E$1,AL$3))&lt;&gt;$E$1,"---",IF(DATE($C$1,$E$1,AL$3)&gt;TODAY(),"",IF(COUNTIFS(sales_logs!$B:$B,$A18,sales_logs!$C:$C,DATE($C$1,$E$1,AL$3),sales_logs!$I:$I,TRUE)&gt;0,"중복확인",IF(COUNTIFS(sales_logs!$B:$B,$A18,sales_logs!$C:$C,DATE($C$1,$E$1,AL$3),sales_logs!$D:$D,"휴무",sales_logs!$I:$I,FALSE)&gt;0,"휴무",IF(COUNTIFS(sales_logs!$B:$B,$A18,sales_logs!$C:$C,DATE($C$1,$E$1,AL$3),sales_logs!$I:$I,FALSE)=0,"미입력",SUMIFS(sales_logs!$E:$E,sales_logs!$B:$B,$A18,sales_logs!$C:$C,DATE($C$1,$E$1,AL$3),sales_logs!$D:$D,"영업",sales_logs!$I:$I,FALSE)))))))</f>
        <v/>
      </c>
      <c r="AM18">
        <f>IF($A18="","",IF(MONTH(DATE($C$1,$E$1,AM$3))&lt;&gt;$E$1,"---",IF(DATE($C$1,$E$1,AM$3)&gt;TODAY(),"",IF(COUNTIFS(sales_logs!$B:$B,$A18,sales_logs!$C:$C,DATE($C$1,$E$1,AM$3),sales_logs!$I:$I,TRUE)&gt;0,"중복확인",IF(COUNTIFS(sales_logs!$B:$B,$A18,sales_logs!$C:$C,DATE($C$1,$E$1,AM$3),sales_logs!$D:$D,"휴무",sales_logs!$I:$I,FALSE)&gt;0,"휴무",IF(COUNTIFS(sales_logs!$B:$B,$A18,sales_logs!$C:$C,DATE($C$1,$E$1,AM$3),sales_logs!$I:$I,FALSE)=0,"미입력",SUMIFS(sales_logs!$E:$E,sales_logs!$B:$B,$A18,sales_logs!$C:$C,DATE($C$1,$E$1,AM$3),sales_logs!$D:$D,"영업",sales_logs!$I:$I,FALSE)))))))</f>
        <v/>
      </c>
      <c r="AN18">
        <f>IF($A18="","",IF(MONTH(DATE($C$1,$E$1,AN$3))&lt;&gt;$E$1,"---",IF(DATE($C$1,$E$1,AN$3)&gt;TODAY(),"",IF(COUNTIFS(sales_logs!$B:$B,$A18,sales_logs!$C:$C,DATE($C$1,$E$1,AN$3),sales_logs!$I:$I,TRUE)&gt;0,"중복확인",IF(COUNTIFS(sales_logs!$B:$B,$A18,sales_logs!$C:$C,DATE($C$1,$E$1,AN$3),sales_logs!$D:$D,"휴무",sales_logs!$I:$I,FALSE)&gt;0,"휴무",IF(COUNTIFS(sales_logs!$B:$B,$A18,sales_logs!$C:$C,DATE($C$1,$E$1,AN$3),sales_logs!$I:$I,FALSE)=0,"미입력",SUMIFS(sales_logs!$E:$E,sales_logs!$B:$B,$A18,sales_logs!$C:$C,DATE($C$1,$E$1,AN$3),sales_logs!$D:$D,"영업",sales_logs!$I:$I,FALSE)))))))</f>
        <v/>
      </c>
      <c r="AO18">
        <f>IF($A18="","",IF(MONTH(DATE($C$1,$E$1,AO$3))&lt;&gt;$E$1,"---",IF(DATE($C$1,$E$1,AO$3)&gt;TODAY(),"",IF(COUNTIFS(sales_logs!$B:$B,$A18,sales_logs!$C:$C,DATE($C$1,$E$1,AO$3),sales_logs!$I:$I,TRUE)&gt;0,"중복확인",IF(COUNTIFS(sales_logs!$B:$B,$A18,sales_logs!$C:$C,DATE($C$1,$E$1,AO$3),sales_logs!$D:$D,"휴무",sales_logs!$I:$I,FALSE)&gt;0,"휴무",IF(COUNTIFS(sales_logs!$B:$B,$A18,sales_logs!$C:$C,DATE($C$1,$E$1,AO$3),sales_logs!$I:$I,FALSE)=0,"미입력",SUMIFS(sales_logs!$E:$E,sales_logs!$B:$B,$A18,sales_logs!$C:$C,DATE($C$1,$E$1,AO$3),sales_logs!$D:$D,"영업",sales_logs!$I:$I,FALSE)))))))</f>
        <v/>
      </c>
    </row>
    <row r="19">
      <c r="A19">
        <f>IFERROR(INDEX(FILTER(stores!$A$2:$A,stores!$G$2:$G="active"),ROW()-3),"")</f>
        <v/>
      </c>
      <c r="B19">
        <f>IF($A19="","",VLOOKUP($A19,stores!$A:$B,2,0))</f>
        <v/>
      </c>
      <c r="C19">
        <f>IF($A19="","",VLOOKUP($A19,stores!$A:$C,3,0))</f>
        <v/>
      </c>
      <c r="D19">
        <f>IF($A19="","",IF(DATE($C$1,$E$1,1)&gt;TODAY(),0,IFERROR(COUNTUNIQUE(FILTER(sales_logs!$C$2:$C$1000,sales_logs!$B$2:$B$1000=$A19,sales_logs!$C$2:$C$1000&gt;=DATE($C$1,$E$1,1),sales_logs!$C$2:$C$1000&lt;=MIN(TODAY(),EOMONTH(DATE($C$1,$E$1,1),0)),sales_logs!$I$2:$I$1000=FALSE))/DAY(MIN(TODAY(),EOMONTH(DATE($C$1,$E$1,1),0))),0)))</f>
        <v/>
      </c>
      <c r="E19">
        <f>IF($A19="","",IF(DATE($C$1,$E$1,1)&gt;TODAY(),0,DAY(MIN(TODAY(),EOMONTH(DATE($C$1,$E$1,1),0)))-IFERROR(COUNTUNIQUE(FILTER(sales_logs!$C$2:$C$1000,sales_logs!$B$2:$B$1000=$A19,sales_logs!$C$2:$C$1000&gt;=DATE($C$1,$E$1,1),sales_logs!$C$2:$C$1000&lt;=MIN(TODAY(),EOMONTH(DATE($C$1,$E$1,1),0)),sales_logs!$I$2:$I$1000=FALSE)),0)))</f>
        <v/>
      </c>
      <c r="F19">
        <f>IF($A19="","",COUNTIFS(sales_logs!$B:$B,$A19,sales_logs!$C:$C,"&gt;="&amp;DATE($C$1,$E$1,1),sales_logs!$C:$C,"&lt;="&amp;EOMONTH(DATE($C$1,$E$1,1),0),sales_logs!$D:$D,"휴무",sales_logs!$I:$I,FALSE))</f>
        <v/>
      </c>
      <c r="G19">
        <f>IF($A19="","",COUNTIFS(sales_logs!$B:$B,$A19,sales_logs!$C:$C,"&gt;="&amp;DATE($C$1,$E$1,1),sales_logs!$C:$C,"&lt;="&amp;EOMONTH(DATE($C$1,$E$1,1),0),sales_logs!$D:$D,"영업",sales_logs!$I:$I,FALSE))</f>
        <v/>
      </c>
      <c r="H19">
        <f>IF($A19="","",SUMIFS(sales_logs!$E:$E,sales_logs!$B:$B,$A19,sales_logs!$C:$C,"&gt;="&amp;DATE($C$1,$E$1,1),sales_logs!$C:$C,"&lt;="&amp;EOMONTH(DATE($C$1,$E$1,1),0),sales_logs!$D:$D,"영업",sales_logs!$I:$I,FALSE))</f>
        <v/>
      </c>
      <c r="I19">
        <f>IF(OR($A19="",G19=0),"",H19/G19)</f>
        <v/>
      </c>
      <c r="J19">
        <f>IF($A19="","",LET(cur_end, MIN(TODAY(),EOMONTH(DATE($C$1,$E$1,1),0)),cmp_day, DAY(cur_end),prev_start, DATE($C$1,$E$1-1,1),prev_end, MIN(DATE($C$1,$E$1-1,cmp_day),EOMONTH(DATE($C$1,$E$1-1,1),0)),cur_sales, SUMIFS(sales_logs!$E:$E,sales_logs!$B:$B,$A19,sales_logs!$C:$C,"&gt;="&amp;DATE($C$1,$E$1,1),sales_logs!$C:$C,"&lt;="&amp;cur_end,sales_logs!$D:$D,"영업",sales_logs!$I:$I,FALSE),prev_sales, SUMIFS(sales_logs!$E:$E,sales_logs!$B:$B,$A19,sales_logs!$C:$C,"&gt;="&amp;prev_start,sales_logs!$C:$C,"&lt;="&amp;prev_end,sales_logs!$D:$D,"영업",sales_logs!$I:$I,FALSE),IF(prev_sales=0,"데이터부족",(cur_sales-prev_sales)/prev_sales)))</f>
        <v/>
      </c>
      <c r="K19">
        <f>IF($A19="","",IF(MONTH(DATE($C$1,$E$1,K$3))&lt;&gt;$E$1,"---",IF(DATE($C$1,$E$1,K$3)&gt;TODAY(),"",IF(COUNTIFS(sales_logs!$B:$B,$A19,sales_logs!$C:$C,DATE($C$1,$E$1,K$3),sales_logs!$I:$I,TRUE)&gt;0,"중복확인",IF(COUNTIFS(sales_logs!$B:$B,$A19,sales_logs!$C:$C,DATE($C$1,$E$1,K$3),sales_logs!$D:$D,"휴무",sales_logs!$I:$I,FALSE)&gt;0,"휴무",IF(COUNTIFS(sales_logs!$B:$B,$A19,sales_logs!$C:$C,DATE($C$1,$E$1,K$3),sales_logs!$I:$I,FALSE)=0,"미입력",SUMIFS(sales_logs!$E:$E,sales_logs!$B:$B,$A19,sales_logs!$C:$C,DATE($C$1,$E$1,K$3),sales_logs!$D:$D,"영업",sales_logs!$I:$I,FALSE)))))))</f>
        <v/>
      </c>
      <c r="L19">
        <f>IF($A19="","",IF(MONTH(DATE($C$1,$E$1,L$3))&lt;&gt;$E$1,"---",IF(DATE($C$1,$E$1,L$3)&gt;TODAY(),"",IF(COUNTIFS(sales_logs!$B:$B,$A19,sales_logs!$C:$C,DATE($C$1,$E$1,L$3),sales_logs!$I:$I,TRUE)&gt;0,"중복확인",IF(COUNTIFS(sales_logs!$B:$B,$A19,sales_logs!$C:$C,DATE($C$1,$E$1,L$3),sales_logs!$D:$D,"휴무",sales_logs!$I:$I,FALSE)&gt;0,"휴무",IF(COUNTIFS(sales_logs!$B:$B,$A19,sales_logs!$C:$C,DATE($C$1,$E$1,L$3),sales_logs!$I:$I,FALSE)=0,"미입력",SUMIFS(sales_logs!$E:$E,sales_logs!$B:$B,$A19,sales_logs!$C:$C,DATE($C$1,$E$1,L$3),sales_logs!$D:$D,"영업",sales_logs!$I:$I,FALSE)))))))</f>
        <v/>
      </c>
      <c r="M19">
        <f>IF($A19="","",IF(MONTH(DATE($C$1,$E$1,M$3))&lt;&gt;$E$1,"---",IF(DATE($C$1,$E$1,M$3)&gt;TODAY(),"",IF(COUNTIFS(sales_logs!$B:$B,$A19,sales_logs!$C:$C,DATE($C$1,$E$1,M$3),sales_logs!$I:$I,TRUE)&gt;0,"중복확인",IF(COUNTIFS(sales_logs!$B:$B,$A19,sales_logs!$C:$C,DATE($C$1,$E$1,M$3),sales_logs!$D:$D,"휴무",sales_logs!$I:$I,FALSE)&gt;0,"휴무",IF(COUNTIFS(sales_logs!$B:$B,$A19,sales_logs!$C:$C,DATE($C$1,$E$1,M$3),sales_logs!$I:$I,FALSE)=0,"미입력",SUMIFS(sales_logs!$E:$E,sales_logs!$B:$B,$A19,sales_logs!$C:$C,DATE($C$1,$E$1,M$3),sales_logs!$D:$D,"영업",sales_logs!$I:$I,FALSE)))))))</f>
        <v/>
      </c>
      <c r="N19">
        <f>IF($A19="","",IF(MONTH(DATE($C$1,$E$1,N$3))&lt;&gt;$E$1,"---",IF(DATE($C$1,$E$1,N$3)&gt;TODAY(),"",IF(COUNTIFS(sales_logs!$B:$B,$A19,sales_logs!$C:$C,DATE($C$1,$E$1,N$3),sales_logs!$I:$I,TRUE)&gt;0,"중복확인",IF(COUNTIFS(sales_logs!$B:$B,$A19,sales_logs!$C:$C,DATE($C$1,$E$1,N$3),sales_logs!$D:$D,"휴무",sales_logs!$I:$I,FALSE)&gt;0,"휴무",IF(COUNTIFS(sales_logs!$B:$B,$A19,sales_logs!$C:$C,DATE($C$1,$E$1,N$3),sales_logs!$I:$I,FALSE)=0,"미입력",SUMIFS(sales_logs!$E:$E,sales_logs!$B:$B,$A19,sales_logs!$C:$C,DATE($C$1,$E$1,N$3),sales_logs!$D:$D,"영업",sales_logs!$I:$I,FALSE)))))))</f>
        <v/>
      </c>
      <c r="O19">
        <f>IF($A19="","",IF(MONTH(DATE($C$1,$E$1,O$3))&lt;&gt;$E$1,"---",IF(DATE($C$1,$E$1,O$3)&gt;TODAY(),"",IF(COUNTIFS(sales_logs!$B:$B,$A19,sales_logs!$C:$C,DATE($C$1,$E$1,O$3),sales_logs!$I:$I,TRUE)&gt;0,"중복확인",IF(COUNTIFS(sales_logs!$B:$B,$A19,sales_logs!$C:$C,DATE($C$1,$E$1,O$3),sales_logs!$D:$D,"휴무",sales_logs!$I:$I,FALSE)&gt;0,"휴무",IF(COUNTIFS(sales_logs!$B:$B,$A19,sales_logs!$C:$C,DATE($C$1,$E$1,O$3),sales_logs!$I:$I,FALSE)=0,"미입력",SUMIFS(sales_logs!$E:$E,sales_logs!$B:$B,$A19,sales_logs!$C:$C,DATE($C$1,$E$1,O$3),sales_logs!$D:$D,"영업",sales_logs!$I:$I,FALSE)))))))</f>
        <v/>
      </c>
      <c r="P19">
        <f>IF($A19="","",IF(MONTH(DATE($C$1,$E$1,P$3))&lt;&gt;$E$1,"---",IF(DATE($C$1,$E$1,P$3)&gt;TODAY(),"",IF(COUNTIFS(sales_logs!$B:$B,$A19,sales_logs!$C:$C,DATE($C$1,$E$1,P$3),sales_logs!$I:$I,TRUE)&gt;0,"중복확인",IF(COUNTIFS(sales_logs!$B:$B,$A19,sales_logs!$C:$C,DATE($C$1,$E$1,P$3),sales_logs!$D:$D,"휴무",sales_logs!$I:$I,FALSE)&gt;0,"휴무",IF(COUNTIFS(sales_logs!$B:$B,$A19,sales_logs!$C:$C,DATE($C$1,$E$1,P$3),sales_logs!$I:$I,FALSE)=0,"미입력",SUMIFS(sales_logs!$E:$E,sales_logs!$B:$B,$A19,sales_logs!$C:$C,DATE($C$1,$E$1,P$3),sales_logs!$D:$D,"영업",sales_logs!$I:$I,FALSE)))))))</f>
        <v/>
      </c>
      <c r="Q19">
        <f>IF($A19="","",IF(MONTH(DATE($C$1,$E$1,Q$3))&lt;&gt;$E$1,"---",IF(DATE($C$1,$E$1,Q$3)&gt;TODAY(),"",IF(COUNTIFS(sales_logs!$B:$B,$A19,sales_logs!$C:$C,DATE($C$1,$E$1,Q$3),sales_logs!$I:$I,TRUE)&gt;0,"중복확인",IF(COUNTIFS(sales_logs!$B:$B,$A19,sales_logs!$C:$C,DATE($C$1,$E$1,Q$3),sales_logs!$D:$D,"휴무",sales_logs!$I:$I,FALSE)&gt;0,"휴무",IF(COUNTIFS(sales_logs!$B:$B,$A19,sales_logs!$C:$C,DATE($C$1,$E$1,Q$3),sales_logs!$I:$I,FALSE)=0,"미입력",SUMIFS(sales_logs!$E:$E,sales_logs!$B:$B,$A19,sales_logs!$C:$C,DATE($C$1,$E$1,Q$3),sales_logs!$D:$D,"영업",sales_logs!$I:$I,FALSE)))))))</f>
        <v/>
      </c>
      <c r="R19">
        <f>IF($A19="","",IF(MONTH(DATE($C$1,$E$1,R$3))&lt;&gt;$E$1,"---",IF(DATE($C$1,$E$1,R$3)&gt;TODAY(),"",IF(COUNTIFS(sales_logs!$B:$B,$A19,sales_logs!$C:$C,DATE($C$1,$E$1,R$3),sales_logs!$I:$I,TRUE)&gt;0,"중복확인",IF(COUNTIFS(sales_logs!$B:$B,$A19,sales_logs!$C:$C,DATE($C$1,$E$1,R$3),sales_logs!$D:$D,"휴무",sales_logs!$I:$I,FALSE)&gt;0,"휴무",IF(COUNTIFS(sales_logs!$B:$B,$A19,sales_logs!$C:$C,DATE($C$1,$E$1,R$3),sales_logs!$I:$I,FALSE)=0,"미입력",SUMIFS(sales_logs!$E:$E,sales_logs!$B:$B,$A19,sales_logs!$C:$C,DATE($C$1,$E$1,R$3),sales_logs!$D:$D,"영업",sales_logs!$I:$I,FALSE)))))))</f>
        <v/>
      </c>
      <c r="S19">
        <f>IF($A19="","",IF(MONTH(DATE($C$1,$E$1,S$3))&lt;&gt;$E$1,"---",IF(DATE($C$1,$E$1,S$3)&gt;TODAY(),"",IF(COUNTIFS(sales_logs!$B:$B,$A19,sales_logs!$C:$C,DATE($C$1,$E$1,S$3),sales_logs!$I:$I,TRUE)&gt;0,"중복확인",IF(COUNTIFS(sales_logs!$B:$B,$A19,sales_logs!$C:$C,DATE($C$1,$E$1,S$3),sales_logs!$D:$D,"휴무",sales_logs!$I:$I,FALSE)&gt;0,"휴무",IF(COUNTIFS(sales_logs!$B:$B,$A19,sales_logs!$C:$C,DATE($C$1,$E$1,S$3),sales_logs!$I:$I,FALSE)=0,"미입력",SUMIFS(sales_logs!$E:$E,sales_logs!$B:$B,$A19,sales_logs!$C:$C,DATE($C$1,$E$1,S$3),sales_logs!$D:$D,"영업",sales_logs!$I:$I,FALSE)))))))</f>
        <v/>
      </c>
      <c r="T19">
        <f>IF($A19="","",IF(MONTH(DATE($C$1,$E$1,T$3))&lt;&gt;$E$1,"---",IF(DATE($C$1,$E$1,T$3)&gt;TODAY(),"",IF(COUNTIFS(sales_logs!$B:$B,$A19,sales_logs!$C:$C,DATE($C$1,$E$1,T$3),sales_logs!$I:$I,TRUE)&gt;0,"중복확인",IF(COUNTIFS(sales_logs!$B:$B,$A19,sales_logs!$C:$C,DATE($C$1,$E$1,T$3),sales_logs!$D:$D,"휴무",sales_logs!$I:$I,FALSE)&gt;0,"휴무",IF(COUNTIFS(sales_logs!$B:$B,$A19,sales_logs!$C:$C,DATE($C$1,$E$1,T$3),sales_logs!$I:$I,FALSE)=0,"미입력",SUMIFS(sales_logs!$E:$E,sales_logs!$B:$B,$A19,sales_logs!$C:$C,DATE($C$1,$E$1,T$3),sales_logs!$D:$D,"영업",sales_logs!$I:$I,FALSE)))))))</f>
        <v/>
      </c>
      <c r="U19">
        <f>IF($A19="","",IF(MONTH(DATE($C$1,$E$1,U$3))&lt;&gt;$E$1,"---",IF(DATE($C$1,$E$1,U$3)&gt;TODAY(),"",IF(COUNTIFS(sales_logs!$B:$B,$A19,sales_logs!$C:$C,DATE($C$1,$E$1,U$3),sales_logs!$I:$I,TRUE)&gt;0,"중복확인",IF(COUNTIFS(sales_logs!$B:$B,$A19,sales_logs!$C:$C,DATE($C$1,$E$1,U$3),sales_logs!$D:$D,"휴무",sales_logs!$I:$I,FALSE)&gt;0,"휴무",IF(COUNTIFS(sales_logs!$B:$B,$A19,sales_logs!$C:$C,DATE($C$1,$E$1,U$3),sales_logs!$I:$I,FALSE)=0,"미입력",SUMIFS(sales_logs!$E:$E,sales_logs!$B:$B,$A19,sales_logs!$C:$C,DATE($C$1,$E$1,U$3),sales_logs!$D:$D,"영업",sales_logs!$I:$I,FALSE)))))))</f>
        <v/>
      </c>
      <c r="V19">
        <f>IF($A19="","",IF(MONTH(DATE($C$1,$E$1,V$3))&lt;&gt;$E$1,"---",IF(DATE($C$1,$E$1,V$3)&gt;TODAY(),"",IF(COUNTIFS(sales_logs!$B:$B,$A19,sales_logs!$C:$C,DATE($C$1,$E$1,V$3),sales_logs!$I:$I,TRUE)&gt;0,"중복확인",IF(COUNTIFS(sales_logs!$B:$B,$A19,sales_logs!$C:$C,DATE($C$1,$E$1,V$3),sales_logs!$D:$D,"휴무",sales_logs!$I:$I,FALSE)&gt;0,"휴무",IF(COUNTIFS(sales_logs!$B:$B,$A19,sales_logs!$C:$C,DATE($C$1,$E$1,V$3),sales_logs!$I:$I,FALSE)=0,"미입력",SUMIFS(sales_logs!$E:$E,sales_logs!$B:$B,$A19,sales_logs!$C:$C,DATE($C$1,$E$1,V$3),sales_logs!$D:$D,"영업",sales_logs!$I:$I,FALSE)))))))</f>
        <v/>
      </c>
      <c r="W19">
        <f>IF($A19="","",IF(MONTH(DATE($C$1,$E$1,W$3))&lt;&gt;$E$1,"---",IF(DATE($C$1,$E$1,W$3)&gt;TODAY(),"",IF(COUNTIFS(sales_logs!$B:$B,$A19,sales_logs!$C:$C,DATE($C$1,$E$1,W$3),sales_logs!$I:$I,TRUE)&gt;0,"중복확인",IF(COUNTIFS(sales_logs!$B:$B,$A19,sales_logs!$C:$C,DATE($C$1,$E$1,W$3),sales_logs!$D:$D,"휴무",sales_logs!$I:$I,FALSE)&gt;0,"휴무",IF(COUNTIFS(sales_logs!$B:$B,$A19,sales_logs!$C:$C,DATE($C$1,$E$1,W$3),sales_logs!$I:$I,FALSE)=0,"미입력",SUMIFS(sales_logs!$E:$E,sales_logs!$B:$B,$A19,sales_logs!$C:$C,DATE($C$1,$E$1,W$3),sales_logs!$D:$D,"영업",sales_logs!$I:$I,FALSE)))))))</f>
        <v/>
      </c>
      <c r="X19">
        <f>IF($A19="","",IF(MONTH(DATE($C$1,$E$1,X$3))&lt;&gt;$E$1,"---",IF(DATE($C$1,$E$1,X$3)&gt;TODAY(),"",IF(COUNTIFS(sales_logs!$B:$B,$A19,sales_logs!$C:$C,DATE($C$1,$E$1,X$3),sales_logs!$I:$I,TRUE)&gt;0,"중복확인",IF(COUNTIFS(sales_logs!$B:$B,$A19,sales_logs!$C:$C,DATE($C$1,$E$1,X$3),sales_logs!$D:$D,"휴무",sales_logs!$I:$I,FALSE)&gt;0,"휴무",IF(COUNTIFS(sales_logs!$B:$B,$A19,sales_logs!$C:$C,DATE($C$1,$E$1,X$3),sales_logs!$I:$I,FALSE)=0,"미입력",SUMIFS(sales_logs!$E:$E,sales_logs!$B:$B,$A19,sales_logs!$C:$C,DATE($C$1,$E$1,X$3),sales_logs!$D:$D,"영업",sales_logs!$I:$I,FALSE)))))))</f>
        <v/>
      </c>
      <c r="Y19">
        <f>IF($A19="","",IF(MONTH(DATE($C$1,$E$1,Y$3))&lt;&gt;$E$1,"---",IF(DATE($C$1,$E$1,Y$3)&gt;TODAY(),"",IF(COUNTIFS(sales_logs!$B:$B,$A19,sales_logs!$C:$C,DATE($C$1,$E$1,Y$3),sales_logs!$I:$I,TRUE)&gt;0,"중복확인",IF(COUNTIFS(sales_logs!$B:$B,$A19,sales_logs!$C:$C,DATE($C$1,$E$1,Y$3),sales_logs!$D:$D,"휴무",sales_logs!$I:$I,FALSE)&gt;0,"휴무",IF(COUNTIFS(sales_logs!$B:$B,$A19,sales_logs!$C:$C,DATE($C$1,$E$1,Y$3),sales_logs!$I:$I,FALSE)=0,"미입력",SUMIFS(sales_logs!$E:$E,sales_logs!$B:$B,$A19,sales_logs!$C:$C,DATE($C$1,$E$1,Y$3),sales_logs!$D:$D,"영업",sales_logs!$I:$I,FALSE)))))))</f>
        <v/>
      </c>
      <c r="Z19">
        <f>IF($A19="","",IF(MONTH(DATE($C$1,$E$1,Z$3))&lt;&gt;$E$1,"---",IF(DATE($C$1,$E$1,Z$3)&gt;TODAY(),"",IF(COUNTIFS(sales_logs!$B:$B,$A19,sales_logs!$C:$C,DATE($C$1,$E$1,Z$3),sales_logs!$I:$I,TRUE)&gt;0,"중복확인",IF(COUNTIFS(sales_logs!$B:$B,$A19,sales_logs!$C:$C,DATE($C$1,$E$1,Z$3),sales_logs!$D:$D,"휴무",sales_logs!$I:$I,FALSE)&gt;0,"휴무",IF(COUNTIFS(sales_logs!$B:$B,$A19,sales_logs!$C:$C,DATE($C$1,$E$1,Z$3),sales_logs!$I:$I,FALSE)=0,"미입력",SUMIFS(sales_logs!$E:$E,sales_logs!$B:$B,$A19,sales_logs!$C:$C,DATE($C$1,$E$1,Z$3),sales_logs!$D:$D,"영업",sales_logs!$I:$I,FALSE)))))))</f>
        <v/>
      </c>
      <c r="AA19">
        <f>IF($A19="","",IF(MONTH(DATE($C$1,$E$1,AA$3))&lt;&gt;$E$1,"---",IF(DATE($C$1,$E$1,AA$3)&gt;TODAY(),"",IF(COUNTIFS(sales_logs!$B:$B,$A19,sales_logs!$C:$C,DATE($C$1,$E$1,AA$3),sales_logs!$I:$I,TRUE)&gt;0,"중복확인",IF(COUNTIFS(sales_logs!$B:$B,$A19,sales_logs!$C:$C,DATE($C$1,$E$1,AA$3),sales_logs!$D:$D,"휴무",sales_logs!$I:$I,FALSE)&gt;0,"휴무",IF(COUNTIFS(sales_logs!$B:$B,$A19,sales_logs!$C:$C,DATE($C$1,$E$1,AA$3),sales_logs!$I:$I,FALSE)=0,"미입력",SUMIFS(sales_logs!$E:$E,sales_logs!$B:$B,$A19,sales_logs!$C:$C,DATE($C$1,$E$1,AA$3),sales_logs!$D:$D,"영업",sales_logs!$I:$I,FALSE)))))))</f>
        <v/>
      </c>
      <c r="AB19">
        <f>IF($A19="","",IF(MONTH(DATE($C$1,$E$1,AB$3))&lt;&gt;$E$1,"---",IF(DATE($C$1,$E$1,AB$3)&gt;TODAY(),"",IF(COUNTIFS(sales_logs!$B:$B,$A19,sales_logs!$C:$C,DATE($C$1,$E$1,AB$3),sales_logs!$I:$I,TRUE)&gt;0,"중복확인",IF(COUNTIFS(sales_logs!$B:$B,$A19,sales_logs!$C:$C,DATE($C$1,$E$1,AB$3),sales_logs!$D:$D,"휴무",sales_logs!$I:$I,FALSE)&gt;0,"휴무",IF(COUNTIFS(sales_logs!$B:$B,$A19,sales_logs!$C:$C,DATE($C$1,$E$1,AB$3),sales_logs!$I:$I,FALSE)=0,"미입력",SUMIFS(sales_logs!$E:$E,sales_logs!$B:$B,$A19,sales_logs!$C:$C,DATE($C$1,$E$1,AB$3),sales_logs!$D:$D,"영업",sales_logs!$I:$I,FALSE)))))))</f>
        <v/>
      </c>
      <c r="AC19">
        <f>IF($A19="","",IF(MONTH(DATE($C$1,$E$1,AC$3))&lt;&gt;$E$1,"---",IF(DATE($C$1,$E$1,AC$3)&gt;TODAY(),"",IF(COUNTIFS(sales_logs!$B:$B,$A19,sales_logs!$C:$C,DATE($C$1,$E$1,AC$3),sales_logs!$I:$I,TRUE)&gt;0,"중복확인",IF(COUNTIFS(sales_logs!$B:$B,$A19,sales_logs!$C:$C,DATE($C$1,$E$1,AC$3),sales_logs!$D:$D,"휴무",sales_logs!$I:$I,FALSE)&gt;0,"휴무",IF(COUNTIFS(sales_logs!$B:$B,$A19,sales_logs!$C:$C,DATE($C$1,$E$1,AC$3),sales_logs!$I:$I,FALSE)=0,"미입력",SUMIFS(sales_logs!$E:$E,sales_logs!$B:$B,$A19,sales_logs!$C:$C,DATE($C$1,$E$1,AC$3),sales_logs!$D:$D,"영업",sales_logs!$I:$I,FALSE)))))))</f>
        <v/>
      </c>
      <c r="AD19">
        <f>IF($A19="","",IF(MONTH(DATE($C$1,$E$1,AD$3))&lt;&gt;$E$1,"---",IF(DATE($C$1,$E$1,AD$3)&gt;TODAY(),"",IF(COUNTIFS(sales_logs!$B:$B,$A19,sales_logs!$C:$C,DATE($C$1,$E$1,AD$3),sales_logs!$I:$I,TRUE)&gt;0,"중복확인",IF(COUNTIFS(sales_logs!$B:$B,$A19,sales_logs!$C:$C,DATE($C$1,$E$1,AD$3),sales_logs!$D:$D,"휴무",sales_logs!$I:$I,FALSE)&gt;0,"휴무",IF(COUNTIFS(sales_logs!$B:$B,$A19,sales_logs!$C:$C,DATE($C$1,$E$1,AD$3),sales_logs!$I:$I,FALSE)=0,"미입력",SUMIFS(sales_logs!$E:$E,sales_logs!$B:$B,$A19,sales_logs!$C:$C,DATE($C$1,$E$1,AD$3),sales_logs!$D:$D,"영업",sales_logs!$I:$I,FALSE)))))))</f>
        <v/>
      </c>
      <c r="AE19">
        <f>IF($A19="","",IF(MONTH(DATE($C$1,$E$1,AE$3))&lt;&gt;$E$1,"---",IF(DATE($C$1,$E$1,AE$3)&gt;TODAY(),"",IF(COUNTIFS(sales_logs!$B:$B,$A19,sales_logs!$C:$C,DATE($C$1,$E$1,AE$3),sales_logs!$I:$I,TRUE)&gt;0,"중복확인",IF(COUNTIFS(sales_logs!$B:$B,$A19,sales_logs!$C:$C,DATE($C$1,$E$1,AE$3),sales_logs!$D:$D,"휴무",sales_logs!$I:$I,FALSE)&gt;0,"휴무",IF(COUNTIFS(sales_logs!$B:$B,$A19,sales_logs!$C:$C,DATE($C$1,$E$1,AE$3),sales_logs!$I:$I,FALSE)=0,"미입력",SUMIFS(sales_logs!$E:$E,sales_logs!$B:$B,$A19,sales_logs!$C:$C,DATE($C$1,$E$1,AE$3),sales_logs!$D:$D,"영업",sales_logs!$I:$I,FALSE)))))))</f>
        <v/>
      </c>
      <c r="AF19">
        <f>IF($A19="","",IF(MONTH(DATE($C$1,$E$1,AF$3))&lt;&gt;$E$1,"---",IF(DATE($C$1,$E$1,AF$3)&gt;TODAY(),"",IF(COUNTIFS(sales_logs!$B:$B,$A19,sales_logs!$C:$C,DATE($C$1,$E$1,AF$3),sales_logs!$I:$I,TRUE)&gt;0,"중복확인",IF(COUNTIFS(sales_logs!$B:$B,$A19,sales_logs!$C:$C,DATE($C$1,$E$1,AF$3),sales_logs!$D:$D,"휴무",sales_logs!$I:$I,FALSE)&gt;0,"휴무",IF(COUNTIFS(sales_logs!$B:$B,$A19,sales_logs!$C:$C,DATE($C$1,$E$1,AF$3),sales_logs!$I:$I,FALSE)=0,"미입력",SUMIFS(sales_logs!$E:$E,sales_logs!$B:$B,$A19,sales_logs!$C:$C,DATE($C$1,$E$1,AF$3),sales_logs!$D:$D,"영업",sales_logs!$I:$I,FALSE)))))))</f>
        <v/>
      </c>
      <c r="AG19">
        <f>IF($A19="","",IF(MONTH(DATE($C$1,$E$1,AG$3))&lt;&gt;$E$1,"---",IF(DATE($C$1,$E$1,AG$3)&gt;TODAY(),"",IF(COUNTIFS(sales_logs!$B:$B,$A19,sales_logs!$C:$C,DATE($C$1,$E$1,AG$3),sales_logs!$I:$I,TRUE)&gt;0,"중복확인",IF(COUNTIFS(sales_logs!$B:$B,$A19,sales_logs!$C:$C,DATE($C$1,$E$1,AG$3),sales_logs!$D:$D,"휴무",sales_logs!$I:$I,FALSE)&gt;0,"휴무",IF(COUNTIFS(sales_logs!$B:$B,$A19,sales_logs!$C:$C,DATE($C$1,$E$1,AG$3),sales_logs!$I:$I,FALSE)=0,"미입력",SUMIFS(sales_logs!$E:$E,sales_logs!$B:$B,$A19,sales_logs!$C:$C,DATE($C$1,$E$1,AG$3),sales_logs!$D:$D,"영업",sales_logs!$I:$I,FALSE)))))))</f>
        <v/>
      </c>
      <c r="AH19">
        <f>IF($A19="","",IF(MONTH(DATE($C$1,$E$1,AH$3))&lt;&gt;$E$1,"---",IF(DATE($C$1,$E$1,AH$3)&gt;TODAY(),"",IF(COUNTIFS(sales_logs!$B:$B,$A19,sales_logs!$C:$C,DATE($C$1,$E$1,AH$3),sales_logs!$I:$I,TRUE)&gt;0,"중복확인",IF(COUNTIFS(sales_logs!$B:$B,$A19,sales_logs!$C:$C,DATE($C$1,$E$1,AH$3),sales_logs!$D:$D,"휴무",sales_logs!$I:$I,FALSE)&gt;0,"휴무",IF(COUNTIFS(sales_logs!$B:$B,$A19,sales_logs!$C:$C,DATE($C$1,$E$1,AH$3),sales_logs!$I:$I,FALSE)=0,"미입력",SUMIFS(sales_logs!$E:$E,sales_logs!$B:$B,$A19,sales_logs!$C:$C,DATE($C$1,$E$1,AH$3),sales_logs!$D:$D,"영업",sales_logs!$I:$I,FALSE)))))))</f>
        <v/>
      </c>
      <c r="AI19">
        <f>IF($A19="","",IF(MONTH(DATE($C$1,$E$1,AI$3))&lt;&gt;$E$1,"---",IF(DATE($C$1,$E$1,AI$3)&gt;TODAY(),"",IF(COUNTIFS(sales_logs!$B:$B,$A19,sales_logs!$C:$C,DATE($C$1,$E$1,AI$3),sales_logs!$I:$I,TRUE)&gt;0,"중복확인",IF(COUNTIFS(sales_logs!$B:$B,$A19,sales_logs!$C:$C,DATE($C$1,$E$1,AI$3),sales_logs!$D:$D,"휴무",sales_logs!$I:$I,FALSE)&gt;0,"휴무",IF(COUNTIFS(sales_logs!$B:$B,$A19,sales_logs!$C:$C,DATE($C$1,$E$1,AI$3),sales_logs!$I:$I,FALSE)=0,"미입력",SUMIFS(sales_logs!$E:$E,sales_logs!$B:$B,$A19,sales_logs!$C:$C,DATE($C$1,$E$1,AI$3),sales_logs!$D:$D,"영업",sales_logs!$I:$I,FALSE)))))))</f>
        <v/>
      </c>
      <c r="AJ19">
        <f>IF($A19="","",IF(MONTH(DATE($C$1,$E$1,AJ$3))&lt;&gt;$E$1,"---",IF(DATE($C$1,$E$1,AJ$3)&gt;TODAY(),"",IF(COUNTIFS(sales_logs!$B:$B,$A19,sales_logs!$C:$C,DATE($C$1,$E$1,AJ$3),sales_logs!$I:$I,TRUE)&gt;0,"중복확인",IF(COUNTIFS(sales_logs!$B:$B,$A19,sales_logs!$C:$C,DATE($C$1,$E$1,AJ$3),sales_logs!$D:$D,"휴무",sales_logs!$I:$I,FALSE)&gt;0,"휴무",IF(COUNTIFS(sales_logs!$B:$B,$A19,sales_logs!$C:$C,DATE($C$1,$E$1,AJ$3),sales_logs!$I:$I,FALSE)=0,"미입력",SUMIFS(sales_logs!$E:$E,sales_logs!$B:$B,$A19,sales_logs!$C:$C,DATE($C$1,$E$1,AJ$3),sales_logs!$D:$D,"영업",sales_logs!$I:$I,FALSE)))))))</f>
        <v/>
      </c>
      <c r="AK19">
        <f>IF($A19="","",IF(MONTH(DATE($C$1,$E$1,AK$3))&lt;&gt;$E$1,"---",IF(DATE($C$1,$E$1,AK$3)&gt;TODAY(),"",IF(COUNTIFS(sales_logs!$B:$B,$A19,sales_logs!$C:$C,DATE($C$1,$E$1,AK$3),sales_logs!$I:$I,TRUE)&gt;0,"중복확인",IF(COUNTIFS(sales_logs!$B:$B,$A19,sales_logs!$C:$C,DATE($C$1,$E$1,AK$3),sales_logs!$D:$D,"휴무",sales_logs!$I:$I,FALSE)&gt;0,"휴무",IF(COUNTIFS(sales_logs!$B:$B,$A19,sales_logs!$C:$C,DATE($C$1,$E$1,AK$3),sales_logs!$I:$I,FALSE)=0,"미입력",SUMIFS(sales_logs!$E:$E,sales_logs!$B:$B,$A19,sales_logs!$C:$C,DATE($C$1,$E$1,AK$3),sales_logs!$D:$D,"영업",sales_logs!$I:$I,FALSE)))))))</f>
        <v/>
      </c>
      <c r="AL19">
        <f>IF($A19="","",IF(MONTH(DATE($C$1,$E$1,AL$3))&lt;&gt;$E$1,"---",IF(DATE($C$1,$E$1,AL$3)&gt;TODAY(),"",IF(COUNTIFS(sales_logs!$B:$B,$A19,sales_logs!$C:$C,DATE($C$1,$E$1,AL$3),sales_logs!$I:$I,TRUE)&gt;0,"중복확인",IF(COUNTIFS(sales_logs!$B:$B,$A19,sales_logs!$C:$C,DATE($C$1,$E$1,AL$3),sales_logs!$D:$D,"휴무",sales_logs!$I:$I,FALSE)&gt;0,"휴무",IF(COUNTIFS(sales_logs!$B:$B,$A19,sales_logs!$C:$C,DATE($C$1,$E$1,AL$3),sales_logs!$I:$I,FALSE)=0,"미입력",SUMIFS(sales_logs!$E:$E,sales_logs!$B:$B,$A19,sales_logs!$C:$C,DATE($C$1,$E$1,AL$3),sales_logs!$D:$D,"영업",sales_logs!$I:$I,FALSE)))))))</f>
        <v/>
      </c>
      <c r="AM19">
        <f>IF($A19="","",IF(MONTH(DATE($C$1,$E$1,AM$3))&lt;&gt;$E$1,"---",IF(DATE($C$1,$E$1,AM$3)&gt;TODAY(),"",IF(COUNTIFS(sales_logs!$B:$B,$A19,sales_logs!$C:$C,DATE($C$1,$E$1,AM$3),sales_logs!$I:$I,TRUE)&gt;0,"중복확인",IF(COUNTIFS(sales_logs!$B:$B,$A19,sales_logs!$C:$C,DATE($C$1,$E$1,AM$3),sales_logs!$D:$D,"휴무",sales_logs!$I:$I,FALSE)&gt;0,"휴무",IF(COUNTIFS(sales_logs!$B:$B,$A19,sales_logs!$C:$C,DATE($C$1,$E$1,AM$3),sales_logs!$I:$I,FALSE)=0,"미입력",SUMIFS(sales_logs!$E:$E,sales_logs!$B:$B,$A19,sales_logs!$C:$C,DATE($C$1,$E$1,AM$3),sales_logs!$D:$D,"영업",sales_logs!$I:$I,FALSE)))))))</f>
        <v/>
      </c>
      <c r="AN19">
        <f>IF($A19="","",IF(MONTH(DATE($C$1,$E$1,AN$3))&lt;&gt;$E$1,"---",IF(DATE($C$1,$E$1,AN$3)&gt;TODAY(),"",IF(COUNTIFS(sales_logs!$B:$B,$A19,sales_logs!$C:$C,DATE($C$1,$E$1,AN$3),sales_logs!$I:$I,TRUE)&gt;0,"중복확인",IF(COUNTIFS(sales_logs!$B:$B,$A19,sales_logs!$C:$C,DATE($C$1,$E$1,AN$3),sales_logs!$D:$D,"휴무",sales_logs!$I:$I,FALSE)&gt;0,"휴무",IF(COUNTIFS(sales_logs!$B:$B,$A19,sales_logs!$C:$C,DATE($C$1,$E$1,AN$3),sales_logs!$I:$I,FALSE)=0,"미입력",SUMIFS(sales_logs!$E:$E,sales_logs!$B:$B,$A19,sales_logs!$C:$C,DATE($C$1,$E$1,AN$3),sales_logs!$D:$D,"영업",sales_logs!$I:$I,FALSE)))))))</f>
        <v/>
      </c>
      <c r="AO19">
        <f>IF($A19="","",IF(MONTH(DATE($C$1,$E$1,AO$3))&lt;&gt;$E$1,"---",IF(DATE($C$1,$E$1,AO$3)&gt;TODAY(),"",IF(COUNTIFS(sales_logs!$B:$B,$A19,sales_logs!$C:$C,DATE($C$1,$E$1,AO$3),sales_logs!$I:$I,TRUE)&gt;0,"중복확인",IF(COUNTIFS(sales_logs!$B:$B,$A19,sales_logs!$C:$C,DATE($C$1,$E$1,AO$3),sales_logs!$D:$D,"휴무",sales_logs!$I:$I,FALSE)&gt;0,"휴무",IF(COUNTIFS(sales_logs!$B:$B,$A19,sales_logs!$C:$C,DATE($C$1,$E$1,AO$3),sales_logs!$I:$I,FALSE)=0,"미입력",SUMIFS(sales_logs!$E:$E,sales_logs!$B:$B,$A19,sales_logs!$C:$C,DATE($C$1,$E$1,AO$3),sales_logs!$D:$D,"영업",sales_logs!$I:$I,FALSE)))))))</f>
        <v/>
      </c>
    </row>
    <row r="20">
      <c r="A20">
        <f>IFERROR(INDEX(FILTER(stores!$A$2:$A,stores!$G$2:$G="active"),ROW()-3),"")</f>
        <v/>
      </c>
      <c r="B20">
        <f>IF($A20="","",VLOOKUP($A20,stores!$A:$B,2,0))</f>
        <v/>
      </c>
      <c r="C20">
        <f>IF($A20="","",VLOOKUP($A20,stores!$A:$C,3,0))</f>
        <v/>
      </c>
      <c r="D20">
        <f>IF($A20="","",IF(DATE($C$1,$E$1,1)&gt;TODAY(),0,IFERROR(COUNTUNIQUE(FILTER(sales_logs!$C$2:$C$1000,sales_logs!$B$2:$B$1000=$A20,sales_logs!$C$2:$C$1000&gt;=DATE($C$1,$E$1,1),sales_logs!$C$2:$C$1000&lt;=MIN(TODAY(),EOMONTH(DATE($C$1,$E$1,1),0)),sales_logs!$I$2:$I$1000=FALSE))/DAY(MIN(TODAY(),EOMONTH(DATE($C$1,$E$1,1),0))),0)))</f>
        <v/>
      </c>
      <c r="E20">
        <f>IF($A20="","",IF(DATE($C$1,$E$1,1)&gt;TODAY(),0,DAY(MIN(TODAY(),EOMONTH(DATE($C$1,$E$1,1),0)))-IFERROR(COUNTUNIQUE(FILTER(sales_logs!$C$2:$C$1000,sales_logs!$B$2:$B$1000=$A20,sales_logs!$C$2:$C$1000&gt;=DATE($C$1,$E$1,1),sales_logs!$C$2:$C$1000&lt;=MIN(TODAY(),EOMONTH(DATE($C$1,$E$1,1),0)),sales_logs!$I$2:$I$1000=FALSE)),0)))</f>
        <v/>
      </c>
      <c r="F20">
        <f>IF($A20="","",COUNTIFS(sales_logs!$B:$B,$A20,sales_logs!$C:$C,"&gt;="&amp;DATE($C$1,$E$1,1),sales_logs!$C:$C,"&lt;="&amp;EOMONTH(DATE($C$1,$E$1,1),0),sales_logs!$D:$D,"휴무",sales_logs!$I:$I,FALSE))</f>
        <v/>
      </c>
      <c r="G20">
        <f>IF($A20="","",COUNTIFS(sales_logs!$B:$B,$A20,sales_logs!$C:$C,"&gt;="&amp;DATE($C$1,$E$1,1),sales_logs!$C:$C,"&lt;="&amp;EOMONTH(DATE($C$1,$E$1,1),0),sales_logs!$D:$D,"영업",sales_logs!$I:$I,FALSE))</f>
        <v/>
      </c>
      <c r="H20">
        <f>IF($A20="","",SUMIFS(sales_logs!$E:$E,sales_logs!$B:$B,$A20,sales_logs!$C:$C,"&gt;="&amp;DATE($C$1,$E$1,1),sales_logs!$C:$C,"&lt;="&amp;EOMONTH(DATE($C$1,$E$1,1),0),sales_logs!$D:$D,"영업",sales_logs!$I:$I,FALSE))</f>
        <v/>
      </c>
      <c r="I20">
        <f>IF(OR($A20="",G20=0),"",H20/G20)</f>
        <v/>
      </c>
      <c r="J20">
        <f>IF($A20="","",LET(cur_end, MIN(TODAY(),EOMONTH(DATE($C$1,$E$1,1),0)),cmp_day, DAY(cur_end),prev_start, DATE($C$1,$E$1-1,1),prev_end, MIN(DATE($C$1,$E$1-1,cmp_day),EOMONTH(DATE($C$1,$E$1-1,1),0)),cur_sales, SUMIFS(sales_logs!$E:$E,sales_logs!$B:$B,$A20,sales_logs!$C:$C,"&gt;="&amp;DATE($C$1,$E$1,1),sales_logs!$C:$C,"&lt;="&amp;cur_end,sales_logs!$D:$D,"영업",sales_logs!$I:$I,FALSE),prev_sales, SUMIFS(sales_logs!$E:$E,sales_logs!$B:$B,$A20,sales_logs!$C:$C,"&gt;="&amp;prev_start,sales_logs!$C:$C,"&lt;="&amp;prev_end,sales_logs!$D:$D,"영업",sales_logs!$I:$I,FALSE),IF(prev_sales=0,"데이터부족",(cur_sales-prev_sales)/prev_sales)))</f>
        <v/>
      </c>
      <c r="K20">
        <f>IF($A20="","",IF(MONTH(DATE($C$1,$E$1,K$3))&lt;&gt;$E$1,"---",IF(DATE($C$1,$E$1,K$3)&gt;TODAY(),"",IF(COUNTIFS(sales_logs!$B:$B,$A20,sales_logs!$C:$C,DATE($C$1,$E$1,K$3),sales_logs!$I:$I,TRUE)&gt;0,"중복확인",IF(COUNTIFS(sales_logs!$B:$B,$A20,sales_logs!$C:$C,DATE($C$1,$E$1,K$3),sales_logs!$D:$D,"휴무",sales_logs!$I:$I,FALSE)&gt;0,"휴무",IF(COUNTIFS(sales_logs!$B:$B,$A20,sales_logs!$C:$C,DATE($C$1,$E$1,K$3),sales_logs!$I:$I,FALSE)=0,"미입력",SUMIFS(sales_logs!$E:$E,sales_logs!$B:$B,$A20,sales_logs!$C:$C,DATE($C$1,$E$1,K$3),sales_logs!$D:$D,"영업",sales_logs!$I:$I,FALSE)))))))</f>
        <v/>
      </c>
      <c r="L20">
        <f>IF($A20="","",IF(MONTH(DATE($C$1,$E$1,L$3))&lt;&gt;$E$1,"---",IF(DATE($C$1,$E$1,L$3)&gt;TODAY(),"",IF(COUNTIFS(sales_logs!$B:$B,$A20,sales_logs!$C:$C,DATE($C$1,$E$1,L$3),sales_logs!$I:$I,TRUE)&gt;0,"중복확인",IF(COUNTIFS(sales_logs!$B:$B,$A20,sales_logs!$C:$C,DATE($C$1,$E$1,L$3),sales_logs!$D:$D,"휴무",sales_logs!$I:$I,FALSE)&gt;0,"휴무",IF(COUNTIFS(sales_logs!$B:$B,$A20,sales_logs!$C:$C,DATE($C$1,$E$1,L$3),sales_logs!$I:$I,FALSE)=0,"미입력",SUMIFS(sales_logs!$E:$E,sales_logs!$B:$B,$A20,sales_logs!$C:$C,DATE($C$1,$E$1,L$3),sales_logs!$D:$D,"영업",sales_logs!$I:$I,FALSE)))))))</f>
        <v/>
      </c>
      <c r="M20">
        <f>IF($A20="","",IF(MONTH(DATE($C$1,$E$1,M$3))&lt;&gt;$E$1,"---",IF(DATE($C$1,$E$1,M$3)&gt;TODAY(),"",IF(COUNTIFS(sales_logs!$B:$B,$A20,sales_logs!$C:$C,DATE($C$1,$E$1,M$3),sales_logs!$I:$I,TRUE)&gt;0,"중복확인",IF(COUNTIFS(sales_logs!$B:$B,$A20,sales_logs!$C:$C,DATE($C$1,$E$1,M$3),sales_logs!$D:$D,"휴무",sales_logs!$I:$I,FALSE)&gt;0,"휴무",IF(COUNTIFS(sales_logs!$B:$B,$A20,sales_logs!$C:$C,DATE($C$1,$E$1,M$3),sales_logs!$I:$I,FALSE)=0,"미입력",SUMIFS(sales_logs!$E:$E,sales_logs!$B:$B,$A20,sales_logs!$C:$C,DATE($C$1,$E$1,M$3),sales_logs!$D:$D,"영업",sales_logs!$I:$I,FALSE)))))))</f>
        <v/>
      </c>
      <c r="N20">
        <f>IF($A20="","",IF(MONTH(DATE($C$1,$E$1,N$3))&lt;&gt;$E$1,"---",IF(DATE($C$1,$E$1,N$3)&gt;TODAY(),"",IF(COUNTIFS(sales_logs!$B:$B,$A20,sales_logs!$C:$C,DATE($C$1,$E$1,N$3),sales_logs!$I:$I,TRUE)&gt;0,"중복확인",IF(COUNTIFS(sales_logs!$B:$B,$A20,sales_logs!$C:$C,DATE($C$1,$E$1,N$3),sales_logs!$D:$D,"휴무",sales_logs!$I:$I,FALSE)&gt;0,"휴무",IF(COUNTIFS(sales_logs!$B:$B,$A20,sales_logs!$C:$C,DATE($C$1,$E$1,N$3),sales_logs!$I:$I,FALSE)=0,"미입력",SUMIFS(sales_logs!$E:$E,sales_logs!$B:$B,$A20,sales_logs!$C:$C,DATE($C$1,$E$1,N$3),sales_logs!$D:$D,"영업",sales_logs!$I:$I,FALSE)))))))</f>
        <v/>
      </c>
      <c r="O20">
        <f>IF($A20="","",IF(MONTH(DATE($C$1,$E$1,O$3))&lt;&gt;$E$1,"---",IF(DATE($C$1,$E$1,O$3)&gt;TODAY(),"",IF(COUNTIFS(sales_logs!$B:$B,$A20,sales_logs!$C:$C,DATE($C$1,$E$1,O$3),sales_logs!$I:$I,TRUE)&gt;0,"중복확인",IF(COUNTIFS(sales_logs!$B:$B,$A20,sales_logs!$C:$C,DATE($C$1,$E$1,O$3),sales_logs!$D:$D,"휴무",sales_logs!$I:$I,FALSE)&gt;0,"휴무",IF(COUNTIFS(sales_logs!$B:$B,$A20,sales_logs!$C:$C,DATE($C$1,$E$1,O$3),sales_logs!$I:$I,FALSE)=0,"미입력",SUMIFS(sales_logs!$E:$E,sales_logs!$B:$B,$A20,sales_logs!$C:$C,DATE($C$1,$E$1,O$3),sales_logs!$D:$D,"영업",sales_logs!$I:$I,FALSE)))))))</f>
        <v/>
      </c>
      <c r="P20">
        <f>IF($A20="","",IF(MONTH(DATE($C$1,$E$1,P$3))&lt;&gt;$E$1,"---",IF(DATE($C$1,$E$1,P$3)&gt;TODAY(),"",IF(COUNTIFS(sales_logs!$B:$B,$A20,sales_logs!$C:$C,DATE($C$1,$E$1,P$3),sales_logs!$I:$I,TRUE)&gt;0,"중복확인",IF(COUNTIFS(sales_logs!$B:$B,$A20,sales_logs!$C:$C,DATE($C$1,$E$1,P$3),sales_logs!$D:$D,"휴무",sales_logs!$I:$I,FALSE)&gt;0,"휴무",IF(COUNTIFS(sales_logs!$B:$B,$A20,sales_logs!$C:$C,DATE($C$1,$E$1,P$3),sales_logs!$I:$I,FALSE)=0,"미입력",SUMIFS(sales_logs!$E:$E,sales_logs!$B:$B,$A20,sales_logs!$C:$C,DATE($C$1,$E$1,P$3),sales_logs!$D:$D,"영업",sales_logs!$I:$I,FALSE)))))))</f>
        <v/>
      </c>
      <c r="Q20">
        <f>IF($A20="","",IF(MONTH(DATE($C$1,$E$1,Q$3))&lt;&gt;$E$1,"---",IF(DATE($C$1,$E$1,Q$3)&gt;TODAY(),"",IF(COUNTIFS(sales_logs!$B:$B,$A20,sales_logs!$C:$C,DATE($C$1,$E$1,Q$3),sales_logs!$I:$I,TRUE)&gt;0,"중복확인",IF(COUNTIFS(sales_logs!$B:$B,$A20,sales_logs!$C:$C,DATE($C$1,$E$1,Q$3),sales_logs!$D:$D,"휴무",sales_logs!$I:$I,FALSE)&gt;0,"휴무",IF(COUNTIFS(sales_logs!$B:$B,$A20,sales_logs!$C:$C,DATE($C$1,$E$1,Q$3),sales_logs!$I:$I,FALSE)=0,"미입력",SUMIFS(sales_logs!$E:$E,sales_logs!$B:$B,$A20,sales_logs!$C:$C,DATE($C$1,$E$1,Q$3),sales_logs!$D:$D,"영업",sales_logs!$I:$I,FALSE)))))))</f>
        <v/>
      </c>
      <c r="R20">
        <f>IF($A20="","",IF(MONTH(DATE($C$1,$E$1,R$3))&lt;&gt;$E$1,"---",IF(DATE($C$1,$E$1,R$3)&gt;TODAY(),"",IF(COUNTIFS(sales_logs!$B:$B,$A20,sales_logs!$C:$C,DATE($C$1,$E$1,R$3),sales_logs!$I:$I,TRUE)&gt;0,"중복확인",IF(COUNTIFS(sales_logs!$B:$B,$A20,sales_logs!$C:$C,DATE($C$1,$E$1,R$3),sales_logs!$D:$D,"휴무",sales_logs!$I:$I,FALSE)&gt;0,"휴무",IF(COUNTIFS(sales_logs!$B:$B,$A20,sales_logs!$C:$C,DATE($C$1,$E$1,R$3),sales_logs!$I:$I,FALSE)=0,"미입력",SUMIFS(sales_logs!$E:$E,sales_logs!$B:$B,$A20,sales_logs!$C:$C,DATE($C$1,$E$1,R$3),sales_logs!$D:$D,"영업",sales_logs!$I:$I,FALSE)))))))</f>
        <v/>
      </c>
      <c r="S20">
        <f>IF($A20="","",IF(MONTH(DATE($C$1,$E$1,S$3))&lt;&gt;$E$1,"---",IF(DATE($C$1,$E$1,S$3)&gt;TODAY(),"",IF(COUNTIFS(sales_logs!$B:$B,$A20,sales_logs!$C:$C,DATE($C$1,$E$1,S$3),sales_logs!$I:$I,TRUE)&gt;0,"중복확인",IF(COUNTIFS(sales_logs!$B:$B,$A20,sales_logs!$C:$C,DATE($C$1,$E$1,S$3),sales_logs!$D:$D,"휴무",sales_logs!$I:$I,FALSE)&gt;0,"휴무",IF(COUNTIFS(sales_logs!$B:$B,$A20,sales_logs!$C:$C,DATE($C$1,$E$1,S$3),sales_logs!$I:$I,FALSE)=0,"미입력",SUMIFS(sales_logs!$E:$E,sales_logs!$B:$B,$A20,sales_logs!$C:$C,DATE($C$1,$E$1,S$3),sales_logs!$D:$D,"영업",sales_logs!$I:$I,FALSE)))))))</f>
        <v/>
      </c>
      <c r="T20">
        <f>IF($A20="","",IF(MONTH(DATE($C$1,$E$1,T$3))&lt;&gt;$E$1,"---",IF(DATE($C$1,$E$1,T$3)&gt;TODAY(),"",IF(COUNTIFS(sales_logs!$B:$B,$A20,sales_logs!$C:$C,DATE($C$1,$E$1,T$3),sales_logs!$I:$I,TRUE)&gt;0,"중복확인",IF(COUNTIFS(sales_logs!$B:$B,$A20,sales_logs!$C:$C,DATE($C$1,$E$1,T$3),sales_logs!$D:$D,"휴무",sales_logs!$I:$I,FALSE)&gt;0,"휴무",IF(COUNTIFS(sales_logs!$B:$B,$A20,sales_logs!$C:$C,DATE($C$1,$E$1,T$3),sales_logs!$I:$I,FALSE)=0,"미입력",SUMIFS(sales_logs!$E:$E,sales_logs!$B:$B,$A20,sales_logs!$C:$C,DATE($C$1,$E$1,T$3),sales_logs!$D:$D,"영업",sales_logs!$I:$I,FALSE)))))))</f>
        <v/>
      </c>
      <c r="U20">
        <f>IF($A20="","",IF(MONTH(DATE($C$1,$E$1,U$3))&lt;&gt;$E$1,"---",IF(DATE($C$1,$E$1,U$3)&gt;TODAY(),"",IF(COUNTIFS(sales_logs!$B:$B,$A20,sales_logs!$C:$C,DATE($C$1,$E$1,U$3),sales_logs!$I:$I,TRUE)&gt;0,"중복확인",IF(COUNTIFS(sales_logs!$B:$B,$A20,sales_logs!$C:$C,DATE($C$1,$E$1,U$3),sales_logs!$D:$D,"휴무",sales_logs!$I:$I,FALSE)&gt;0,"휴무",IF(COUNTIFS(sales_logs!$B:$B,$A20,sales_logs!$C:$C,DATE($C$1,$E$1,U$3),sales_logs!$I:$I,FALSE)=0,"미입력",SUMIFS(sales_logs!$E:$E,sales_logs!$B:$B,$A20,sales_logs!$C:$C,DATE($C$1,$E$1,U$3),sales_logs!$D:$D,"영업",sales_logs!$I:$I,FALSE)))))))</f>
        <v/>
      </c>
      <c r="V20">
        <f>IF($A20="","",IF(MONTH(DATE($C$1,$E$1,V$3))&lt;&gt;$E$1,"---",IF(DATE($C$1,$E$1,V$3)&gt;TODAY(),"",IF(COUNTIFS(sales_logs!$B:$B,$A20,sales_logs!$C:$C,DATE($C$1,$E$1,V$3),sales_logs!$I:$I,TRUE)&gt;0,"중복확인",IF(COUNTIFS(sales_logs!$B:$B,$A20,sales_logs!$C:$C,DATE($C$1,$E$1,V$3),sales_logs!$D:$D,"휴무",sales_logs!$I:$I,FALSE)&gt;0,"휴무",IF(COUNTIFS(sales_logs!$B:$B,$A20,sales_logs!$C:$C,DATE($C$1,$E$1,V$3),sales_logs!$I:$I,FALSE)=0,"미입력",SUMIFS(sales_logs!$E:$E,sales_logs!$B:$B,$A20,sales_logs!$C:$C,DATE($C$1,$E$1,V$3),sales_logs!$D:$D,"영업",sales_logs!$I:$I,FALSE)))))))</f>
        <v/>
      </c>
      <c r="W20">
        <f>IF($A20="","",IF(MONTH(DATE($C$1,$E$1,W$3))&lt;&gt;$E$1,"---",IF(DATE($C$1,$E$1,W$3)&gt;TODAY(),"",IF(COUNTIFS(sales_logs!$B:$B,$A20,sales_logs!$C:$C,DATE($C$1,$E$1,W$3),sales_logs!$I:$I,TRUE)&gt;0,"중복확인",IF(COUNTIFS(sales_logs!$B:$B,$A20,sales_logs!$C:$C,DATE($C$1,$E$1,W$3),sales_logs!$D:$D,"휴무",sales_logs!$I:$I,FALSE)&gt;0,"휴무",IF(COUNTIFS(sales_logs!$B:$B,$A20,sales_logs!$C:$C,DATE($C$1,$E$1,W$3),sales_logs!$I:$I,FALSE)=0,"미입력",SUMIFS(sales_logs!$E:$E,sales_logs!$B:$B,$A20,sales_logs!$C:$C,DATE($C$1,$E$1,W$3),sales_logs!$D:$D,"영업",sales_logs!$I:$I,FALSE)))))))</f>
        <v/>
      </c>
      <c r="X20">
        <f>IF($A20="","",IF(MONTH(DATE($C$1,$E$1,X$3))&lt;&gt;$E$1,"---",IF(DATE($C$1,$E$1,X$3)&gt;TODAY(),"",IF(COUNTIFS(sales_logs!$B:$B,$A20,sales_logs!$C:$C,DATE($C$1,$E$1,X$3),sales_logs!$I:$I,TRUE)&gt;0,"중복확인",IF(COUNTIFS(sales_logs!$B:$B,$A20,sales_logs!$C:$C,DATE($C$1,$E$1,X$3),sales_logs!$D:$D,"휴무",sales_logs!$I:$I,FALSE)&gt;0,"휴무",IF(COUNTIFS(sales_logs!$B:$B,$A20,sales_logs!$C:$C,DATE($C$1,$E$1,X$3),sales_logs!$I:$I,FALSE)=0,"미입력",SUMIFS(sales_logs!$E:$E,sales_logs!$B:$B,$A20,sales_logs!$C:$C,DATE($C$1,$E$1,X$3),sales_logs!$D:$D,"영업",sales_logs!$I:$I,FALSE)))))))</f>
        <v/>
      </c>
      <c r="Y20">
        <f>IF($A20="","",IF(MONTH(DATE($C$1,$E$1,Y$3))&lt;&gt;$E$1,"---",IF(DATE($C$1,$E$1,Y$3)&gt;TODAY(),"",IF(COUNTIFS(sales_logs!$B:$B,$A20,sales_logs!$C:$C,DATE($C$1,$E$1,Y$3),sales_logs!$I:$I,TRUE)&gt;0,"중복확인",IF(COUNTIFS(sales_logs!$B:$B,$A20,sales_logs!$C:$C,DATE($C$1,$E$1,Y$3),sales_logs!$D:$D,"휴무",sales_logs!$I:$I,FALSE)&gt;0,"휴무",IF(COUNTIFS(sales_logs!$B:$B,$A20,sales_logs!$C:$C,DATE($C$1,$E$1,Y$3),sales_logs!$I:$I,FALSE)=0,"미입력",SUMIFS(sales_logs!$E:$E,sales_logs!$B:$B,$A20,sales_logs!$C:$C,DATE($C$1,$E$1,Y$3),sales_logs!$D:$D,"영업",sales_logs!$I:$I,FALSE)))))))</f>
        <v/>
      </c>
      <c r="Z20">
        <f>IF($A20="","",IF(MONTH(DATE($C$1,$E$1,Z$3))&lt;&gt;$E$1,"---",IF(DATE($C$1,$E$1,Z$3)&gt;TODAY(),"",IF(COUNTIFS(sales_logs!$B:$B,$A20,sales_logs!$C:$C,DATE($C$1,$E$1,Z$3),sales_logs!$I:$I,TRUE)&gt;0,"중복확인",IF(COUNTIFS(sales_logs!$B:$B,$A20,sales_logs!$C:$C,DATE($C$1,$E$1,Z$3),sales_logs!$D:$D,"휴무",sales_logs!$I:$I,FALSE)&gt;0,"휴무",IF(COUNTIFS(sales_logs!$B:$B,$A20,sales_logs!$C:$C,DATE($C$1,$E$1,Z$3),sales_logs!$I:$I,FALSE)=0,"미입력",SUMIFS(sales_logs!$E:$E,sales_logs!$B:$B,$A20,sales_logs!$C:$C,DATE($C$1,$E$1,Z$3),sales_logs!$D:$D,"영업",sales_logs!$I:$I,FALSE)))))))</f>
        <v/>
      </c>
      <c r="AA20">
        <f>IF($A20="","",IF(MONTH(DATE($C$1,$E$1,AA$3))&lt;&gt;$E$1,"---",IF(DATE($C$1,$E$1,AA$3)&gt;TODAY(),"",IF(COUNTIFS(sales_logs!$B:$B,$A20,sales_logs!$C:$C,DATE($C$1,$E$1,AA$3),sales_logs!$I:$I,TRUE)&gt;0,"중복확인",IF(COUNTIFS(sales_logs!$B:$B,$A20,sales_logs!$C:$C,DATE($C$1,$E$1,AA$3),sales_logs!$D:$D,"휴무",sales_logs!$I:$I,FALSE)&gt;0,"휴무",IF(COUNTIFS(sales_logs!$B:$B,$A20,sales_logs!$C:$C,DATE($C$1,$E$1,AA$3),sales_logs!$I:$I,FALSE)=0,"미입력",SUMIFS(sales_logs!$E:$E,sales_logs!$B:$B,$A20,sales_logs!$C:$C,DATE($C$1,$E$1,AA$3),sales_logs!$D:$D,"영업",sales_logs!$I:$I,FALSE)))))))</f>
        <v/>
      </c>
      <c r="AB20">
        <f>IF($A20="","",IF(MONTH(DATE($C$1,$E$1,AB$3))&lt;&gt;$E$1,"---",IF(DATE($C$1,$E$1,AB$3)&gt;TODAY(),"",IF(COUNTIFS(sales_logs!$B:$B,$A20,sales_logs!$C:$C,DATE($C$1,$E$1,AB$3),sales_logs!$I:$I,TRUE)&gt;0,"중복확인",IF(COUNTIFS(sales_logs!$B:$B,$A20,sales_logs!$C:$C,DATE($C$1,$E$1,AB$3),sales_logs!$D:$D,"휴무",sales_logs!$I:$I,FALSE)&gt;0,"휴무",IF(COUNTIFS(sales_logs!$B:$B,$A20,sales_logs!$C:$C,DATE($C$1,$E$1,AB$3),sales_logs!$I:$I,FALSE)=0,"미입력",SUMIFS(sales_logs!$E:$E,sales_logs!$B:$B,$A20,sales_logs!$C:$C,DATE($C$1,$E$1,AB$3),sales_logs!$D:$D,"영업",sales_logs!$I:$I,FALSE)))))))</f>
        <v/>
      </c>
      <c r="AC20">
        <f>IF($A20="","",IF(MONTH(DATE($C$1,$E$1,AC$3))&lt;&gt;$E$1,"---",IF(DATE($C$1,$E$1,AC$3)&gt;TODAY(),"",IF(COUNTIFS(sales_logs!$B:$B,$A20,sales_logs!$C:$C,DATE($C$1,$E$1,AC$3),sales_logs!$I:$I,TRUE)&gt;0,"중복확인",IF(COUNTIFS(sales_logs!$B:$B,$A20,sales_logs!$C:$C,DATE($C$1,$E$1,AC$3),sales_logs!$D:$D,"휴무",sales_logs!$I:$I,FALSE)&gt;0,"휴무",IF(COUNTIFS(sales_logs!$B:$B,$A20,sales_logs!$C:$C,DATE($C$1,$E$1,AC$3),sales_logs!$I:$I,FALSE)=0,"미입력",SUMIFS(sales_logs!$E:$E,sales_logs!$B:$B,$A20,sales_logs!$C:$C,DATE($C$1,$E$1,AC$3),sales_logs!$D:$D,"영업",sales_logs!$I:$I,FALSE)))))))</f>
        <v/>
      </c>
      <c r="AD20">
        <f>IF($A20="","",IF(MONTH(DATE($C$1,$E$1,AD$3))&lt;&gt;$E$1,"---",IF(DATE($C$1,$E$1,AD$3)&gt;TODAY(),"",IF(COUNTIFS(sales_logs!$B:$B,$A20,sales_logs!$C:$C,DATE($C$1,$E$1,AD$3),sales_logs!$I:$I,TRUE)&gt;0,"중복확인",IF(COUNTIFS(sales_logs!$B:$B,$A20,sales_logs!$C:$C,DATE($C$1,$E$1,AD$3),sales_logs!$D:$D,"휴무",sales_logs!$I:$I,FALSE)&gt;0,"휴무",IF(COUNTIFS(sales_logs!$B:$B,$A20,sales_logs!$C:$C,DATE($C$1,$E$1,AD$3),sales_logs!$I:$I,FALSE)=0,"미입력",SUMIFS(sales_logs!$E:$E,sales_logs!$B:$B,$A20,sales_logs!$C:$C,DATE($C$1,$E$1,AD$3),sales_logs!$D:$D,"영업",sales_logs!$I:$I,FALSE)))))))</f>
        <v/>
      </c>
      <c r="AE20">
        <f>IF($A20="","",IF(MONTH(DATE($C$1,$E$1,AE$3))&lt;&gt;$E$1,"---",IF(DATE($C$1,$E$1,AE$3)&gt;TODAY(),"",IF(COUNTIFS(sales_logs!$B:$B,$A20,sales_logs!$C:$C,DATE($C$1,$E$1,AE$3),sales_logs!$I:$I,TRUE)&gt;0,"중복확인",IF(COUNTIFS(sales_logs!$B:$B,$A20,sales_logs!$C:$C,DATE($C$1,$E$1,AE$3),sales_logs!$D:$D,"휴무",sales_logs!$I:$I,FALSE)&gt;0,"휴무",IF(COUNTIFS(sales_logs!$B:$B,$A20,sales_logs!$C:$C,DATE($C$1,$E$1,AE$3),sales_logs!$I:$I,FALSE)=0,"미입력",SUMIFS(sales_logs!$E:$E,sales_logs!$B:$B,$A20,sales_logs!$C:$C,DATE($C$1,$E$1,AE$3),sales_logs!$D:$D,"영업",sales_logs!$I:$I,FALSE)))))))</f>
        <v/>
      </c>
      <c r="AF20">
        <f>IF($A20="","",IF(MONTH(DATE($C$1,$E$1,AF$3))&lt;&gt;$E$1,"---",IF(DATE($C$1,$E$1,AF$3)&gt;TODAY(),"",IF(COUNTIFS(sales_logs!$B:$B,$A20,sales_logs!$C:$C,DATE($C$1,$E$1,AF$3),sales_logs!$I:$I,TRUE)&gt;0,"중복확인",IF(COUNTIFS(sales_logs!$B:$B,$A20,sales_logs!$C:$C,DATE($C$1,$E$1,AF$3),sales_logs!$D:$D,"휴무",sales_logs!$I:$I,FALSE)&gt;0,"휴무",IF(COUNTIFS(sales_logs!$B:$B,$A20,sales_logs!$C:$C,DATE($C$1,$E$1,AF$3),sales_logs!$I:$I,FALSE)=0,"미입력",SUMIFS(sales_logs!$E:$E,sales_logs!$B:$B,$A20,sales_logs!$C:$C,DATE($C$1,$E$1,AF$3),sales_logs!$D:$D,"영업",sales_logs!$I:$I,FALSE)))))))</f>
        <v/>
      </c>
      <c r="AG20">
        <f>IF($A20="","",IF(MONTH(DATE($C$1,$E$1,AG$3))&lt;&gt;$E$1,"---",IF(DATE($C$1,$E$1,AG$3)&gt;TODAY(),"",IF(COUNTIFS(sales_logs!$B:$B,$A20,sales_logs!$C:$C,DATE($C$1,$E$1,AG$3),sales_logs!$I:$I,TRUE)&gt;0,"중복확인",IF(COUNTIFS(sales_logs!$B:$B,$A20,sales_logs!$C:$C,DATE($C$1,$E$1,AG$3),sales_logs!$D:$D,"휴무",sales_logs!$I:$I,FALSE)&gt;0,"휴무",IF(COUNTIFS(sales_logs!$B:$B,$A20,sales_logs!$C:$C,DATE($C$1,$E$1,AG$3),sales_logs!$I:$I,FALSE)=0,"미입력",SUMIFS(sales_logs!$E:$E,sales_logs!$B:$B,$A20,sales_logs!$C:$C,DATE($C$1,$E$1,AG$3),sales_logs!$D:$D,"영업",sales_logs!$I:$I,FALSE)))))))</f>
        <v/>
      </c>
      <c r="AH20">
        <f>IF($A20="","",IF(MONTH(DATE($C$1,$E$1,AH$3))&lt;&gt;$E$1,"---",IF(DATE($C$1,$E$1,AH$3)&gt;TODAY(),"",IF(COUNTIFS(sales_logs!$B:$B,$A20,sales_logs!$C:$C,DATE($C$1,$E$1,AH$3),sales_logs!$I:$I,TRUE)&gt;0,"중복확인",IF(COUNTIFS(sales_logs!$B:$B,$A20,sales_logs!$C:$C,DATE($C$1,$E$1,AH$3),sales_logs!$D:$D,"휴무",sales_logs!$I:$I,FALSE)&gt;0,"휴무",IF(COUNTIFS(sales_logs!$B:$B,$A20,sales_logs!$C:$C,DATE($C$1,$E$1,AH$3),sales_logs!$I:$I,FALSE)=0,"미입력",SUMIFS(sales_logs!$E:$E,sales_logs!$B:$B,$A20,sales_logs!$C:$C,DATE($C$1,$E$1,AH$3),sales_logs!$D:$D,"영업",sales_logs!$I:$I,FALSE)))))))</f>
        <v/>
      </c>
      <c r="AI20">
        <f>IF($A20="","",IF(MONTH(DATE($C$1,$E$1,AI$3))&lt;&gt;$E$1,"---",IF(DATE($C$1,$E$1,AI$3)&gt;TODAY(),"",IF(COUNTIFS(sales_logs!$B:$B,$A20,sales_logs!$C:$C,DATE($C$1,$E$1,AI$3),sales_logs!$I:$I,TRUE)&gt;0,"중복확인",IF(COUNTIFS(sales_logs!$B:$B,$A20,sales_logs!$C:$C,DATE($C$1,$E$1,AI$3),sales_logs!$D:$D,"휴무",sales_logs!$I:$I,FALSE)&gt;0,"휴무",IF(COUNTIFS(sales_logs!$B:$B,$A20,sales_logs!$C:$C,DATE($C$1,$E$1,AI$3),sales_logs!$I:$I,FALSE)=0,"미입력",SUMIFS(sales_logs!$E:$E,sales_logs!$B:$B,$A20,sales_logs!$C:$C,DATE($C$1,$E$1,AI$3),sales_logs!$D:$D,"영업",sales_logs!$I:$I,FALSE)))))))</f>
        <v/>
      </c>
      <c r="AJ20">
        <f>IF($A20="","",IF(MONTH(DATE($C$1,$E$1,AJ$3))&lt;&gt;$E$1,"---",IF(DATE($C$1,$E$1,AJ$3)&gt;TODAY(),"",IF(COUNTIFS(sales_logs!$B:$B,$A20,sales_logs!$C:$C,DATE($C$1,$E$1,AJ$3),sales_logs!$I:$I,TRUE)&gt;0,"중복확인",IF(COUNTIFS(sales_logs!$B:$B,$A20,sales_logs!$C:$C,DATE($C$1,$E$1,AJ$3),sales_logs!$D:$D,"휴무",sales_logs!$I:$I,FALSE)&gt;0,"휴무",IF(COUNTIFS(sales_logs!$B:$B,$A20,sales_logs!$C:$C,DATE($C$1,$E$1,AJ$3),sales_logs!$I:$I,FALSE)=0,"미입력",SUMIFS(sales_logs!$E:$E,sales_logs!$B:$B,$A20,sales_logs!$C:$C,DATE($C$1,$E$1,AJ$3),sales_logs!$D:$D,"영업",sales_logs!$I:$I,FALSE)))))))</f>
        <v/>
      </c>
      <c r="AK20">
        <f>IF($A20="","",IF(MONTH(DATE($C$1,$E$1,AK$3))&lt;&gt;$E$1,"---",IF(DATE($C$1,$E$1,AK$3)&gt;TODAY(),"",IF(COUNTIFS(sales_logs!$B:$B,$A20,sales_logs!$C:$C,DATE($C$1,$E$1,AK$3),sales_logs!$I:$I,TRUE)&gt;0,"중복확인",IF(COUNTIFS(sales_logs!$B:$B,$A20,sales_logs!$C:$C,DATE($C$1,$E$1,AK$3),sales_logs!$D:$D,"휴무",sales_logs!$I:$I,FALSE)&gt;0,"휴무",IF(COUNTIFS(sales_logs!$B:$B,$A20,sales_logs!$C:$C,DATE($C$1,$E$1,AK$3),sales_logs!$I:$I,FALSE)=0,"미입력",SUMIFS(sales_logs!$E:$E,sales_logs!$B:$B,$A20,sales_logs!$C:$C,DATE($C$1,$E$1,AK$3),sales_logs!$D:$D,"영업",sales_logs!$I:$I,FALSE)))))))</f>
        <v/>
      </c>
      <c r="AL20">
        <f>IF($A20="","",IF(MONTH(DATE($C$1,$E$1,AL$3))&lt;&gt;$E$1,"---",IF(DATE($C$1,$E$1,AL$3)&gt;TODAY(),"",IF(COUNTIFS(sales_logs!$B:$B,$A20,sales_logs!$C:$C,DATE($C$1,$E$1,AL$3),sales_logs!$I:$I,TRUE)&gt;0,"중복확인",IF(COUNTIFS(sales_logs!$B:$B,$A20,sales_logs!$C:$C,DATE($C$1,$E$1,AL$3),sales_logs!$D:$D,"휴무",sales_logs!$I:$I,FALSE)&gt;0,"휴무",IF(COUNTIFS(sales_logs!$B:$B,$A20,sales_logs!$C:$C,DATE($C$1,$E$1,AL$3),sales_logs!$I:$I,FALSE)=0,"미입력",SUMIFS(sales_logs!$E:$E,sales_logs!$B:$B,$A20,sales_logs!$C:$C,DATE($C$1,$E$1,AL$3),sales_logs!$D:$D,"영업",sales_logs!$I:$I,FALSE)))))))</f>
        <v/>
      </c>
      <c r="AM20">
        <f>IF($A20="","",IF(MONTH(DATE($C$1,$E$1,AM$3))&lt;&gt;$E$1,"---",IF(DATE($C$1,$E$1,AM$3)&gt;TODAY(),"",IF(COUNTIFS(sales_logs!$B:$B,$A20,sales_logs!$C:$C,DATE($C$1,$E$1,AM$3),sales_logs!$I:$I,TRUE)&gt;0,"중복확인",IF(COUNTIFS(sales_logs!$B:$B,$A20,sales_logs!$C:$C,DATE($C$1,$E$1,AM$3),sales_logs!$D:$D,"휴무",sales_logs!$I:$I,FALSE)&gt;0,"휴무",IF(COUNTIFS(sales_logs!$B:$B,$A20,sales_logs!$C:$C,DATE($C$1,$E$1,AM$3),sales_logs!$I:$I,FALSE)=0,"미입력",SUMIFS(sales_logs!$E:$E,sales_logs!$B:$B,$A20,sales_logs!$C:$C,DATE($C$1,$E$1,AM$3),sales_logs!$D:$D,"영업",sales_logs!$I:$I,FALSE)))))))</f>
        <v/>
      </c>
      <c r="AN20">
        <f>IF($A20="","",IF(MONTH(DATE($C$1,$E$1,AN$3))&lt;&gt;$E$1,"---",IF(DATE($C$1,$E$1,AN$3)&gt;TODAY(),"",IF(COUNTIFS(sales_logs!$B:$B,$A20,sales_logs!$C:$C,DATE($C$1,$E$1,AN$3),sales_logs!$I:$I,TRUE)&gt;0,"중복확인",IF(COUNTIFS(sales_logs!$B:$B,$A20,sales_logs!$C:$C,DATE($C$1,$E$1,AN$3),sales_logs!$D:$D,"휴무",sales_logs!$I:$I,FALSE)&gt;0,"휴무",IF(COUNTIFS(sales_logs!$B:$B,$A20,sales_logs!$C:$C,DATE($C$1,$E$1,AN$3),sales_logs!$I:$I,FALSE)=0,"미입력",SUMIFS(sales_logs!$E:$E,sales_logs!$B:$B,$A20,sales_logs!$C:$C,DATE($C$1,$E$1,AN$3),sales_logs!$D:$D,"영업",sales_logs!$I:$I,FALSE)))))))</f>
        <v/>
      </c>
      <c r="AO20">
        <f>IF($A20="","",IF(MONTH(DATE($C$1,$E$1,AO$3))&lt;&gt;$E$1,"---",IF(DATE($C$1,$E$1,AO$3)&gt;TODAY(),"",IF(COUNTIFS(sales_logs!$B:$B,$A20,sales_logs!$C:$C,DATE($C$1,$E$1,AO$3),sales_logs!$I:$I,TRUE)&gt;0,"중복확인",IF(COUNTIFS(sales_logs!$B:$B,$A20,sales_logs!$C:$C,DATE($C$1,$E$1,AO$3),sales_logs!$D:$D,"휴무",sales_logs!$I:$I,FALSE)&gt;0,"휴무",IF(COUNTIFS(sales_logs!$B:$B,$A20,sales_logs!$C:$C,DATE($C$1,$E$1,AO$3),sales_logs!$I:$I,FALSE)=0,"미입력",SUMIFS(sales_logs!$E:$E,sales_logs!$B:$B,$A20,sales_logs!$C:$C,DATE($C$1,$E$1,AO$3),sales_logs!$D:$D,"영업",sales_logs!$I:$I,FALSE)))))))</f>
        <v/>
      </c>
    </row>
    <row r="21">
      <c r="A21">
        <f>IFERROR(INDEX(FILTER(stores!$A$2:$A,stores!$G$2:$G="active"),ROW()-3),"")</f>
        <v/>
      </c>
      <c r="B21">
        <f>IF($A21="","",VLOOKUP($A21,stores!$A:$B,2,0))</f>
        <v/>
      </c>
      <c r="C21">
        <f>IF($A21="","",VLOOKUP($A21,stores!$A:$C,3,0))</f>
        <v/>
      </c>
      <c r="D21">
        <f>IF($A21="","",IF(DATE($C$1,$E$1,1)&gt;TODAY(),0,IFERROR(COUNTUNIQUE(FILTER(sales_logs!$C$2:$C$1000,sales_logs!$B$2:$B$1000=$A21,sales_logs!$C$2:$C$1000&gt;=DATE($C$1,$E$1,1),sales_logs!$C$2:$C$1000&lt;=MIN(TODAY(),EOMONTH(DATE($C$1,$E$1,1),0)),sales_logs!$I$2:$I$1000=FALSE))/DAY(MIN(TODAY(),EOMONTH(DATE($C$1,$E$1,1),0))),0)))</f>
        <v/>
      </c>
      <c r="E21">
        <f>IF($A21="","",IF(DATE($C$1,$E$1,1)&gt;TODAY(),0,DAY(MIN(TODAY(),EOMONTH(DATE($C$1,$E$1,1),0)))-IFERROR(COUNTUNIQUE(FILTER(sales_logs!$C$2:$C$1000,sales_logs!$B$2:$B$1000=$A21,sales_logs!$C$2:$C$1000&gt;=DATE($C$1,$E$1,1),sales_logs!$C$2:$C$1000&lt;=MIN(TODAY(),EOMONTH(DATE($C$1,$E$1,1),0)),sales_logs!$I$2:$I$1000=FALSE)),0)))</f>
        <v/>
      </c>
      <c r="F21">
        <f>IF($A21="","",COUNTIFS(sales_logs!$B:$B,$A21,sales_logs!$C:$C,"&gt;="&amp;DATE($C$1,$E$1,1),sales_logs!$C:$C,"&lt;="&amp;EOMONTH(DATE($C$1,$E$1,1),0),sales_logs!$D:$D,"휴무",sales_logs!$I:$I,FALSE))</f>
        <v/>
      </c>
      <c r="G21">
        <f>IF($A21="","",COUNTIFS(sales_logs!$B:$B,$A21,sales_logs!$C:$C,"&gt;="&amp;DATE($C$1,$E$1,1),sales_logs!$C:$C,"&lt;="&amp;EOMONTH(DATE($C$1,$E$1,1),0),sales_logs!$D:$D,"영업",sales_logs!$I:$I,FALSE))</f>
        <v/>
      </c>
      <c r="H21">
        <f>IF($A21="","",SUMIFS(sales_logs!$E:$E,sales_logs!$B:$B,$A21,sales_logs!$C:$C,"&gt;="&amp;DATE($C$1,$E$1,1),sales_logs!$C:$C,"&lt;="&amp;EOMONTH(DATE($C$1,$E$1,1),0),sales_logs!$D:$D,"영업",sales_logs!$I:$I,FALSE))</f>
        <v/>
      </c>
      <c r="I21">
        <f>IF(OR($A21="",G21=0),"",H21/G21)</f>
        <v/>
      </c>
      <c r="J21">
        <f>IF($A21="","",LET(cur_end, MIN(TODAY(),EOMONTH(DATE($C$1,$E$1,1),0)),cmp_day, DAY(cur_end),prev_start, DATE($C$1,$E$1-1,1),prev_end, MIN(DATE($C$1,$E$1-1,cmp_day),EOMONTH(DATE($C$1,$E$1-1,1),0)),cur_sales, SUMIFS(sales_logs!$E:$E,sales_logs!$B:$B,$A21,sales_logs!$C:$C,"&gt;="&amp;DATE($C$1,$E$1,1),sales_logs!$C:$C,"&lt;="&amp;cur_end,sales_logs!$D:$D,"영업",sales_logs!$I:$I,FALSE),prev_sales, SUMIFS(sales_logs!$E:$E,sales_logs!$B:$B,$A21,sales_logs!$C:$C,"&gt;="&amp;prev_start,sales_logs!$C:$C,"&lt;="&amp;prev_end,sales_logs!$D:$D,"영업",sales_logs!$I:$I,FALSE),IF(prev_sales=0,"데이터부족",(cur_sales-prev_sales)/prev_sales)))</f>
        <v/>
      </c>
      <c r="K21">
        <f>IF($A21="","",IF(MONTH(DATE($C$1,$E$1,K$3))&lt;&gt;$E$1,"---",IF(DATE($C$1,$E$1,K$3)&gt;TODAY(),"",IF(COUNTIFS(sales_logs!$B:$B,$A21,sales_logs!$C:$C,DATE($C$1,$E$1,K$3),sales_logs!$I:$I,TRUE)&gt;0,"중복확인",IF(COUNTIFS(sales_logs!$B:$B,$A21,sales_logs!$C:$C,DATE($C$1,$E$1,K$3),sales_logs!$D:$D,"휴무",sales_logs!$I:$I,FALSE)&gt;0,"휴무",IF(COUNTIFS(sales_logs!$B:$B,$A21,sales_logs!$C:$C,DATE($C$1,$E$1,K$3),sales_logs!$I:$I,FALSE)=0,"미입력",SUMIFS(sales_logs!$E:$E,sales_logs!$B:$B,$A21,sales_logs!$C:$C,DATE($C$1,$E$1,K$3),sales_logs!$D:$D,"영업",sales_logs!$I:$I,FALSE)))))))</f>
        <v/>
      </c>
      <c r="L21">
        <f>IF($A21="","",IF(MONTH(DATE($C$1,$E$1,L$3))&lt;&gt;$E$1,"---",IF(DATE($C$1,$E$1,L$3)&gt;TODAY(),"",IF(COUNTIFS(sales_logs!$B:$B,$A21,sales_logs!$C:$C,DATE($C$1,$E$1,L$3),sales_logs!$I:$I,TRUE)&gt;0,"중복확인",IF(COUNTIFS(sales_logs!$B:$B,$A21,sales_logs!$C:$C,DATE($C$1,$E$1,L$3),sales_logs!$D:$D,"휴무",sales_logs!$I:$I,FALSE)&gt;0,"휴무",IF(COUNTIFS(sales_logs!$B:$B,$A21,sales_logs!$C:$C,DATE($C$1,$E$1,L$3),sales_logs!$I:$I,FALSE)=0,"미입력",SUMIFS(sales_logs!$E:$E,sales_logs!$B:$B,$A21,sales_logs!$C:$C,DATE($C$1,$E$1,L$3),sales_logs!$D:$D,"영업",sales_logs!$I:$I,FALSE)))))))</f>
        <v/>
      </c>
      <c r="M21">
        <f>IF($A21="","",IF(MONTH(DATE($C$1,$E$1,M$3))&lt;&gt;$E$1,"---",IF(DATE($C$1,$E$1,M$3)&gt;TODAY(),"",IF(COUNTIFS(sales_logs!$B:$B,$A21,sales_logs!$C:$C,DATE($C$1,$E$1,M$3),sales_logs!$I:$I,TRUE)&gt;0,"중복확인",IF(COUNTIFS(sales_logs!$B:$B,$A21,sales_logs!$C:$C,DATE($C$1,$E$1,M$3),sales_logs!$D:$D,"휴무",sales_logs!$I:$I,FALSE)&gt;0,"휴무",IF(COUNTIFS(sales_logs!$B:$B,$A21,sales_logs!$C:$C,DATE($C$1,$E$1,M$3),sales_logs!$I:$I,FALSE)=0,"미입력",SUMIFS(sales_logs!$E:$E,sales_logs!$B:$B,$A21,sales_logs!$C:$C,DATE($C$1,$E$1,M$3),sales_logs!$D:$D,"영업",sales_logs!$I:$I,FALSE)))))))</f>
        <v/>
      </c>
      <c r="N21">
        <f>IF($A21="","",IF(MONTH(DATE($C$1,$E$1,N$3))&lt;&gt;$E$1,"---",IF(DATE($C$1,$E$1,N$3)&gt;TODAY(),"",IF(COUNTIFS(sales_logs!$B:$B,$A21,sales_logs!$C:$C,DATE($C$1,$E$1,N$3),sales_logs!$I:$I,TRUE)&gt;0,"중복확인",IF(COUNTIFS(sales_logs!$B:$B,$A21,sales_logs!$C:$C,DATE($C$1,$E$1,N$3),sales_logs!$D:$D,"휴무",sales_logs!$I:$I,FALSE)&gt;0,"휴무",IF(COUNTIFS(sales_logs!$B:$B,$A21,sales_logs!$C:$C,DATE($C$1,$E$1,N$3),sales_logs!$I:$I,FALSE)=0,"미입력",SUMIFS(sales_logs!$E:$E,sales_logs!$B:$B,$A21,sales_logs!$C:$C,DATE($C$1,$E$1,N$3),sales_logs!$D:$D,"영업",sales_logs!$I:$I,FALSE)))))))</f>
        <v/>
      </c>
      <c r="O21">
        <f>IF($A21="","",IF(MONTH(DATE($C$1,$E$1,O$3))&lt;&gt;$E$1,"---",IF(DATE($C$1,$E$1,O$3)&gt;TODAY(),"",IF(COUNTIFS(sales_logs!$B:$B,$A21,sales_logs!$C:$C,DATE($C$1,$E$1,O$3),sales_logs!$I:$I,TRUE)&gt;0,"중복확인",IF(COUNTIFS(sales_logs!$B:$B,$A21,sales_logs!$C:$C,DATE($C$1,$E$1,O$3),sales_logs!$D:$D,"휴무",sales_logs!$I:$I,FALSE)&gt;0,"휴무",IF(COUNTIFS(sales_logs!$B:$B,$A21,sales_logs!$C:$C,DATE($C$1,$E$1,O$3),sales_logs!$I:$I,FALSE)=0,"미입력",SUMIFS(sales_logs!$E:$E,sales_logs!$B:$B,$A21,sales_logs!$C:$C,DATE($C$1,$E$1,O$3),sales_logs!$D:$D,"영업",sales_logs!$I:$I,FALSE)))))))</f>
        <v/>
      </c>
      <c r="P21">
        <f>IF($A21="","",IF(MONTH(DATE($C$1,$E$1,P$3))&lt;&gt;$E$1,"---",IF(DATE($C$1,$E$1,P$3)&gt;TODAY(),"",IF(COUNTIFS(sales_logs!$B:$B,$A21,sales_logs!$C:$C,DATE($C$1,$E$1,P$3),sales_logs!$I:$I,TRUE)&gt;0,"중복확인",IF(COUNTIFS(sales_logs!$B:$B,$A21,sales_logs!$C:$C,DATE($C$1,$E$1,P$3),sales_logs!$D:$D,"휴무",sales_logs!$I:$I,FALSE)&gt;0,"휴무",IF(COUNTIFS(sales_logs!$B:$B,$A21,sales_logs!$C:$C,DATE($C$1,$E$1,P$3),sales_logs!$I:$I,FALSE)=0,"미입력",SUMIFS(sales_logs!$E:$E,sales_logs!$B:$B,$A21,sales_logs!$C:$C,DATE($C$1,$E$1,P$3),sales_logs!$D:$D,"영업",sales_logs!$I:$I,FALSE)))))))</f>
        <v/>
      </c>
      <c r="Q21">
        <f>IF($A21="","",IF(MONTH(DATE($C$1,$E$1,Q$3))&lt;&gt;$E$1,"---",IF(DATE($C$1,$E$1,Q$3)&gt;TODAY(),"",IF(COUNTIFS(sales_logs!$B:$B,$A21,sales_logs!$C:$C,DATE($C$1,$E$1,Q$3),sales_logs!$I:$I,TRUE)&gt;0,"중복확인",IF(COUNTIFS(sales_logs!$B:$B,$A21,sales_logs!$C:$C,DATE($C$1,$E$1,Q$3),sales_logs!$D:$D,"휴무",sales_logs!$I:$I,FALSE)&gt;0,"휴무",IF(COUNTIFS(sales_logs!$B:$B,$A21,sales_logs!$C:$C,DATE($C$1,$E$1,Q$3),sales_logs!$I:$I,FALSE)=0,"미입력",SUMIFS(sales_logs!$E:$E,sales_logs!$B:$B,$A21,sales_logs!$C:$C,DATE($C$1,$E$1,Q$3),sales_logs!$D:$D,"영업",sales_logs!$I:$I,FALSE)))))))</f>
        <v/>
      </c>
      <c r="R21">
        <f>IF($A21="","",IF(MONTH(DATE($C$1,$E$1,R$3))&lt;&gt;$E$1,"---",IF(DATE($C$1,$E$1,R$3)&gt;TODAY(),"",IF(COUNTIFS(sales_logs!$B:$B,$A21,sales_logs!$C:$C,DATE($C$1,$E$1,R$3),sales_logs!$I:$I,TRUE)&gt;0,"중복확인",IF(COUNTIFS(sales_logs!$B:$B,$A21,sales_logs!$C:$C,DATE($C$1,$E$1,R$3),sales_logs!$D:$D,"휴무",sales_logs!$I:$I,FALSE)&gt;0,"휴무",IF(COUNTIFS(sales_logs!$B:$B,$A21,sales_logs!$C:$C,DATE($C$1,$E$1,R$3),sales_logs!$I:$I,FALSE)=0,"미입력",SUMIFS(sales_logs!$E:$E,sales_logs!$B:$B,$A21,sales_logs!$C:$C,DATE($C$1,$E$1,R$3),sales_logs!$D:$D,"영업",sales_logs!$I:$I,FALSE)))))))</f>
        <v/>
      </c>
      <c r="S21">
        <f>IF($A21="","",IF(MONTH(DATE($C$1,$E$1,S$3))&lt;&gt;$E$1,"---",IF(DATE($C$1,$E$1,S$3)&gt;TODAY(),"",IF(COUNTIFS(sales_logs!$B:$B,$A21,sales_logs!$C:$C,DATE($C$1,$E$1,S$3),sales_logs!$I:$I,TRUE)&gt;0,"중복확인",IF(COUNTIFS(sales_logs!$B:$B,$A21,sales_logs!$C:$C,DATE($C$1,$E$1,S$3),sales_logs!$D:$D,"휴무",sales_logs!$I:$I,FALSE)&gt;0,"휴무",IF(COUNTIFS(sales_logs!$B:$B,$A21,sales_logs!$C:$C,DATE($C$1,$E$1,S$3),sales_logs!$I:$I,FALSE)=0,"미입력",SUMIFS(sales_logs!$E:$E,sales_logs!$B:$B,$A21,sales_logs!$C:$C,DATE($C$1,$E$1,S$3),sales_logs!$D:$D,"영업",sales_logs!$I:$I,FALSE)))))))</f>
        <v/>
      </c>
      <c r="T21">
        <f>IF($A21="","",IF(MONTH(DATE($C$1,$E$1,T$3))&lt;&gt;$E$1,"---",IF(DATE($C$1,$E$1,T$3)&gt;TODAY(),"",IF(COUNTIFS(sales_logs!$B:$B,$A21,sales_logs!$C:$C,DATE($C$1,$E$1,T$3),sales_logs!$I:$I,TRUE)&gt;0,"중복확인",IF(COUNTIFS(sales_logs!$B:$B,$A21,sales_logs!$C:$C,DATE($C$1,$E$1,T$3),sales_logs!$D:$D,"휴무",sales_logs!$I:$I,FALSE)&gt;0,"휴무",IF(COUNTIFS(sales_logs!$B:$B,$A21,sales_logs!$C:$C,DATE($C$1,$E$1,T$3),sales_logs!$I:$I,FALSE)=0,"미입력",SUMIFS(sales_logs!$E:$E,sales_logs!$B:$B,$A21,sales_logs!$C:$C,DATE($C$1,$E$1,T$3),sales_logs!$D:$D,"영업",sales_logs!$I:$I,FALSE)))))))</f>
        <v/>
      </c>
      <c r="U21">
        <f>IF($A21="","",IF(MONTH(DATE($C$1,$E$1,U$3))&lt;&gt;$E$1,"---",IF(DATE($C$1,$E$1,U$3)&gt;TODAY(),"",IF(COUNTIFS(sales_logs!$B:$B,$A21,sales_logs!$C:$C,DATE($C$1,$E$1,U$3),sales_logs!$I:$I,TRUE)&gt;0,"중복확인",IF(COUNTIFS(sales_logs!$B:$B,$A21,sales_logs!$C:$C,DATE($C$1,$E$1,U$3),sales_logs!$D:$D,"휴무",sales_logs!$I:$I,FALSE)&gt;0,"휴무",IF(COUNTIFS(sales_logs!$B:$B,$A21,sales_logs!$C:$C,DATE($C$1,$E$1,U$3),sales_logs!$I:$I,FALSE)=0,"미입력",SUMIFS(sales_logs!$E:$E,sales_logs!$B:$B,$A21,sales_logs!$C:$C,DATE($C$1,$E$1,U$3),sales_logs!$D:$D,"영업",sales_logs!$I:$I,FALSE)))))))</f>
        <v/>
      </c>
      <c r="V21">
        <f>IF($A21="","",IF(MONTH(DATE($C$1,$E$1,V$3))&lt;&gt;$E$1,"---",IF(DATE($C$1,$E$1,V$3)&gt;TODAY(),"",IF(COUNTIFS(sales_logs!$B:$B,$A21,sales_logs!$C:$C,DATE($C$1,$E$1,V$3),sales_logs!$I:$I,TRUE)&gt;0,"중복확인",IF(COUNTIFS(sales_logs!$B:$B,$A21,sales_logs!$C:$C,DATE($C$1,$E$1,V$3),sales_logs!$D:$D,"휴무",sales_logs!$I:$I,FALSE)&gt;0,"휴무",IF(COUNTIFS(sales_logs!$B:$B,$A21,sales_logs!$C:$C,DATE($C$1,$E$1,V$3),sales_logs!$I:$I,FALSE)=0,"미입력",SUMIFS(sales_logs!$E:$E,sales_logs!$B:$B,$A21,sales_logs!$C:$C,DATE($C$1,$E$1,V$3),sales_logs!$D:$D,"영업",sales_logs!$I:$I,FALSE)))))))</f>
        <v/>
      </c>
      <c r="W21">
        <f>IF($A21="","",IF(MONTH(DATE($C$1,$E$1,W$3))&lt;&gt;$E$1,"---",IF(DATE($C$1,$E$1,W$3)&gt;TODAY(),"",IF(COUNTIFS(sales_logs!$B:$B,$A21,sales_logs!$C:$C,DATE($C$1,$E$1,W$3),sales_logs!$I:$I,TRUE)&gt;0,"중복확인",IF(COUNTIFS(sales_logs!$B:$B,$A21,sales_logs!$C:$C,DATE($C$1,$E$1,W$3),sales_logs!$D:$D,"휴무",sales_logs!$I:$I,FALSE)&gt;0,"휴무",IF(COUNTIFS(sales_logs!$B:$B,$A21,sales_logs!$C:$C,DATE($C$1,$E$1,W$3),sales_logs!$I:$I,FALSE)=0,"미입력",SUMIFS(sales_logs!$E:$E,sales_logs!$B:$B,$A21,sales_logs!$C:$C,DATE($C$1,$E$1,W$3),sales_logs!$D:$D,"영업",sales_logs!$I:$I,FALSE)))))))</f>
        <v/>
      </c>
      <c r="X21">
        <f>IF($A21="","",IF(MONTH(DATE($C$1,$E$1,X$3))&lt;&gt;$E$1,"---",IF(DATE($C$1,$E$1,X$3)&gt;TODAY(),"",IF(COUNTIFS(sales_logs!$B:$B,$A21,sales_logs!$C:$C,DATE($C$1,$E$1,X$3),sales_logs!$I:$I,TRUE)&gt;0,"중복확인",IF(COUNTIFS(sales_logs!$B:$B,$A21,sales_logs!$C:$C,DATE($C$1,$E$1,X$3),sales_logs!$D:$D,"휴무",sales_logs!$I:$I,FALSE)&gt;0,"휴무",IF(COUNTIFS(sales_logs!$B:$B,$A21,sales_logs!$C:$C,DATE($C$1,$E$1,X$3),sales_logs!$I:$I,FALSE)=0,"미입력",SUMIFS(sales_logs!$E:$E,sales_logs!$B:$B,$A21,sales_logs!$C:$C,DATE($C$1,$E$1,X$3),sales_logs!$D:$D,"영업",sales_logs!$I:$I,FALSE)))))))</f>
        <v/>
      </c>
      <c r="Y21">
        <f>IF($A21="","",IF(MONTH(DATE($C$1,$E$1,Y$3))&lt;&gt;$E$1,"---",IF(DATE($C$1,$E$1,Y$3)&gt;TODAY(),"",IF(COUNTIFS(sales_logs!$B:$B,$A21,sales_logs!$C:$C,DATE($C$1,$E$1,Y$3),sales_logs!$I:$I,TRUE)&gt;0,"중복확인",IF(COUNTIFS(sales_logs!$B:$B,$A21,sales_logs!$C:$C,DATE($C$1,$E$1,Y$3),sales_logs!$D:$D,"휴무",sales_logs!$I:$I,FALSE)&gt;0,"휴무",IF(COUNTIFS(sales_logs!$B:$B,$A21,sales_logs!$C:$C,DATE($C$1,$E$1,Y$3),sales_logs!$I:$I,FALSE)=0,"미입력",SUMIFS(sales_logs!$E:$E,sales_logs!$B:$B,$A21,sales_logs!$C:$C,DATE($C$1,$E$1,Y$3),sales_logs!$D:$D,"영업",sales_logs!$I:$I,FALSE)))))))</f>
        <v/>
      </c>
      <c r="Z21">
        <f>IF($A21="","",IF(MONTH(DATE($C$1,$E$1,Z$3))&lt;&gt;$E$1,"---",IF(DATE($C$1,$E$1,Z$3)&gt;TODAY(),"",IF(COUNTIFS(sales_logs!$B:$B,$A21,sales_logs!$C:$C,DATE($C$1,$E$1,Z$3),sales_logs!$I:$I,TRUE)&gt;0,"중복확인",IF(COUNTIFS(sales_logs!$B:$B,$A21,sales_logs!$C:$C,DATE($C$1,$E$1,Z$3),sales_logs!$D:$D,"휴무",sales_logs!$I:$I,FALSE)&gt;0,"휴무",IF(COUNTIFS(sales_logs!$B:$B,$A21,sales_logs!$C:$C,DATE($C$1,$E$1,Z$3),sales_logs!$I:$I,FALSE)=0,"미입력",SUMIFS(sales_logs!$E:$E,sales_logs!$B:$B,$A21,sales_logs!$C:$C,DATE($C$1,$E$1,Z$3),sales_logs!$D:$D,"영업",sales_logs!$I:$I,FALSE)))))))</f>
        <v/>
      </c>
      <c r="AA21">
        <f>IF($A21="","",IF(MONTH(DATE($C$1,$E$1,AA$3))&lt;&gt;$E$1,"---",IF(DATE($C$1,$E$1,AA$3)&gt;TODAY(),"",IF(COUNTIFS(sales_logs!$B:$B,$A21,sales_logs!$C:$C,DATE($C$1,$E$1,AA$3),sales_logs!$I:$I,TRUE)&gt;0,"중복확인",IF(COUNTIFS(sales_logs!$B:$B,$A21,sales_logs!$C:$C,DATE($C$1,$E$1,AA$3),sales_logs!$D:$D,"휴무",sales_logs!$I:$I,FALSE)&gt;0,"휴무",IF(COUNTIFS(sales_logs!$B:$B,$A21,sales_logs!$C:$C,DATE($C$1,$E$1,AA$3),sales_logs!$I:$I,FALSE)=0,"미입력",SUMIFS(sales_logs!$E:$E,sales_logs!$B:$B,$A21,sales_logs!$C:$C,DATE($C$1,$E$1,AA$3),sales_logs!$D:$D,"영업",sales_logs!$I:$I,FALSE)))))))</f>
        <v/>
      </c>
      <c r="AB21">
        <f>IF($A21="","",IF(MONTH(DATE($C$1,$E$1,AB$3))&lt;&gt;$E$1,"---",IF(DATE($C$1,$E$1,AB$3)&gt;TODAY(),"",IF(COUNTIFS(sales_logs!$B:$B,$A21,sales_logs!$C:$C,DATE($C$1,$E$1,AB$3),sales_logs!$I:$I,TRUE)&gt;0,"중복확인",IF(COUNTIFS(sales_logs!$B:$B,$A21,sales_logs!$C:$C,DATE($C$1,$E$1,AB$3),sales_logs!$D:$D,"휴무",sales_logs!$I:$I,FALSE)&gt;0,"휴무",IF(COUNTIFS(sales_logs!$B:$B,$A21,sales_logs!$C:$C,DATE($C$1,$E$1,AB$3),sales_logs!$I:$I,FALSE)=0,"미입력",SUMIFS(sales_logs!$E:$E,sales_logs!$B:$B,$A21,sales_logs!$C:$C,DATE($C$1,$E$1,AB$3),sales_logs!$D:$D,"영업",sales_logs!$I:$I,FALSE)))))))</f>
        <v/>
      </c>
      <c r="AC21">
        <f>IF($A21="","",IF(MONTH(DATE($C$1,$E$1,AC$3))&lt;&gt;$E$1,"---",IF(DATE($C$1,$E$1,AC$3)&gt;TODAY(),"",IF(COUNTIFS(sales_logs!$B:$B,$A21,sales_logs!$C:$C,DATE($C$1,$E$1,AC$3),sales_logs!$I:$I,TRUE)&gt;0,"중복확인",IF(COUNTIFS(sales_logs!$B:$B,$A21,sales_logs!$C:$C,DATE($C$1,$E$1,AC$3),sales_logs!$D:$D,"휴무",sales_logs!$I:$I,FALSE)&gt;0,"휴무",IF(COUNTIFS(sales_logs!$B:$B,$A21,sales_logs!$C:$C,DATE($C$1,$E$1,AC$3),sales_logs!$I:$I,FALSE)=0,"미입력",SUMIFS(sales_logs!$E:$E,sales_logs!$B:$B,$A21,sales_logs!$C:$C,DATE($C$1,$E$1,AC$3),sales_logs!$D:$D,"영업",sales_logs!$I:$I,FALSE)))))))</f>
        <v/>
      </c>
      <c r="AD21">
        <f>IF($A21="","",IF(MONTH(DATE($C$1,$E$1,AD$3))&lt;&gt;$E$1,"---",IF(DATE($C$1,$E$1,AD$3)&gt;TODAY(),"",IF(COUNTIFS(sales_logs!$B:$B,$A21,sales_logs!$C:$C,DATE($C$1,$E$1,AD$3),sales_logs!$I:$I,TRUE)&gt;0,"중복확인",IF(COUNTIFS(sales_logs!$B:$B,$A21,sales_logs!$C:$C,DATE($C$1,$E$1,AD$3),sales_logs!$D:$D,"휴무",sales_logs!$I:$I,FALSE)&gt;0,"휴무",IF(COUNTIFS(sales_logs!$B:$B,$A21,sales_logs!$C:$C,DATE($C$1,$E$1,AD$3),sales_logs!$I:$I,FALSE)=0,"미입력",SUMIFS(sales_logs!$E:$E,sales_logs!$B:$B,$A21,sales_logs!$C:$C,DATE($C$1,$E$1,AD$3),sales_logs!$D:$D,"영업",sales_logs!$I:$I,FALSE)))))))</f>
        <v/>
      </c>
      <c r="AE21">
        <f>IF($A21="","",IF(MONTH(DATE($C$1,$E$1,AE$3))&lt;&gt;$E$1,"---",IF(DATE($C$1,$E$1,AE$3)&gt;TODAY(),"",IF(COUNTIFS(sales_logs!$B:$B,$A21,sales_logs!$C:$C,DATE($C$1,$E$1,AE$3),sales_logs!$I:$I,TRUE)&gt;0,"중복확인",IF(COUNTIFS(sales_logs!$B:$B,$A21,sales_logs!$C:$C,DATE($C$1,$E$1,AE$3),sales_logs!$D:$D,"휴무",sales_logs!$I:$I,FALSE)&gt;0,"휴무",IF(COUNTIFS(sales_logs!$B:$B,$A21,sales_logs!$C:$C,DATE($C$1,$E$1,AE$3),sales_logs!$I:$I,FALSE)=0,"미입력",SUMIFS(sales_logs!$E:$E,sales_logs!$B:$B,$A21,sales_logs!$C:$C,DATE($C$1,$E$1,AE$3),sales_logs!$D:$D,"영업",sales_logs!$I:$I,FALSE)))))))</f>
        <v/>
      </c>
      <c r="AF21">
        <f>IF($A21="","",IF(MONTH(DATE($C$1,$E$1,AF$3))&lt;&gt;$E$1,"---",IF(DATE($C$1,$E$1,AF$3)&gt;TODAY(),"",IF(COUNTIFS(sales_logs!$B:$B,$A21,sales_logs!$C:$C,DATE($C$1,$E$1,AF$3),sales_logs!$I:$I,TRUE)&gt;0,"중복확인",IF(COUNTIFS(sales_logs!$B:$B,$A21,sales_logs!$C:$C,DATE($C$1,$E$1,AF$3),sales_logs!$D:$D,"휴무",sales_logs!$I:$I,FALSE)&gt;0,"휴무",IF(COUNTIFS(sales_logs!$B:$B,$A21,sales_logs!$C:$C,DATE($C$1,$E$1,AF$3),sales_logs!$I:$I,FALSE)=0,"미입력",SUMIFS(sales_logs!$E:$E,sales_logs!$B:$B,$A21,sales_logs!$C:$C,DATE($C$1,$E$1,AF$3),sales_logs!$D:$D,"영업",sales_logs!$I:$I,FALSE)))))))</f>
        <v/>
      </c>
      <c r="AG21">
        <f>IF($A21="","",IF(MONTH(DATE($C$1,$E$1,AG$3))&lt;&gt;$E$1,"---",IF(DATE($C$1,$E$1,AG$3)&gt;TODAY(),"",IF(COUNTIFS(sales_logs!$B:$B,$A21,sales_logs!$C:$C,DATE($C$1,$E$1,AG$3),sales_logs!$I:$I,TRUE)&gt;0,"중복확인",IF(COUNTIFS(sales_logs!$B:$B,$A21,sales_logs!$C:$C,DATE($C$1,$E$1,AG$3),sales_logs!$D:$D,"휴무",sales_logs!$I:$I,FALSE)&gt;0,"휴무",IF(COUNTIFS(sales_logs!$B:$B,$A21,sales_logs!$C:$C,DATE($C$1,$E$1,AG$3),sales_logs!$I:$I,FALSE)=0,"미입력",SUMIFS(sales_logs!$E:$E,sales_logs!$B:$B,$A21,sales_logs!$C:$C,DATE($C$1,$E$1,AG$3),sales_logs!$D:$D,"영업",sales_logs!$I:$I,FALSE)))))))</f>
        <v/>
      </c>
      <c r="AH21">
        <f>IF($A21="","",IF(MONTH(DATE($C$1,$E$1,AH$3))&lt;&gt;$E$1,"---",IF(DATE($C$1,$E$1,AH$3)&gt;TODAY(),"",IF(COUNTIFS(sales_logs!$B:$B,$A21,sales_logs!$C:$C,DATE($C$1,$E$1,AH$3),sales_logs!$I:$I,TRUE)&gt;0,"중복확인",IF(COUNTIFS(sales_logs!$B:$B,$A21,sales_logs!$C:$C,DATE($C$1,$E$1,AH$3),sales_logs!$D:$D,"휴무",sales_logs!$I:$I,FALSE)&gt;0,"휴무",IF(COUNTIFS(sales_logs!$B:$B,$A21,sales_logs!$C:$C,DATE($C$1,$E$1,AH$3),sales_logs!$I:$I,FALSE)=0,"미입력",SUMIFS(sales_logs!$E:$E,sales_logs!$B:$B,$A21,sales_logs!$C:$C,DATE($C$1,$E$1,AH$3),sales_logs!$D:$D,"영업",sales_logs!$I:$I,FALSE)))))))</f>
        <v/>
      </c>
      <c r="AI21">
        <f>IF($A21="","",IF(MONTH(DATE($C$1,$E$1,AI$3))&lt;&gt;$E$1,"---",IF(DATE($C$1,$E$1,AI$3)&gt;TODAY(),"",IF(COUNTIFS(sales_logs!$B:$B,$A21,sales_logs!$C:$C,DATE($C$1,$E$1,AI$3),sales_logs!$I:$I,TRUE)&gt;0,"중복확인",IF(COUNTIFS(sales_logs!$B:$B,$A21,sales_logs!$C:$C,DATE($C$1,$E$1,AI$3),sales_logs!$D:$D,"휴무",sales_logs!$I:$I,FALSE)&gt;0,"휴무",IF(COUNTIFS(sales_logs!$B:$B,$A21,sales_logs!$C:$C,DATE($C$1,$E$1,AI$3),sales_logs!$I:$I,FALSE)=0,"미입력",SUMIFS(sales_logs!$E:$E,sales_logs!$B:$B,$A21,sales_logs!$C:$C,DATE($C$1,$E$1,AI$3),sales_logs!$D:$D,"영업",sales_logs!$I:$I,FALSE)))))))</f>
        <v/>
      </c>
      <c r="AJ21">
        <f>IF($A21="","",IF(MONTH(DATE($C$1,$E$1,AJ$3))&lt;&gt;$E$1,"---",IF(DATE($C$1,$E$1,AJ$3)&gt;TODAY(),"",IF(COUNTIFS(sales_logs!$B:$B,$A21,sales_logs!$C:$C,DATE($C$1,$E$1,AJ$3),sales_logs!$I:$I,TRUE)&gt;0,"중복확인",IF(COUNTIFS(sales_logs!$B:$B,$A21,sales_logs!$C:$C,DATE($C$1,$E$1,AJ$3),sales_logs!$D:$D,"휴무",sales_logs!$I:$I,FALSE)&gt;0,"휴무",IF(COUNTIFS(sales_logs!$B:$B,$A21,sales_logs!$C:$C,DATE($C$1,$E$1,AJ$3),sales_logs!$I:$I,FALSE)=0,"미입력",SUMIFS(sales_logs!$E:$E,sales_logs!$B:$B,$A21,sales_logs!$C:$C,DATE($C$1,$E$1,AJ$3),sales_logs!$D:$D,"영업",sales_logs!$I:$I,FALSE)))))))</f>
        <v/>
      </c>
      <c r="AK21">
        <f>IF($A21="","",IF(MONTH(DATE($C$1,$E$1,AK$3))&lt;&gt;$E$1,"---",IF(DATE($C$1,$E$1,AK$3)&gt;TODAY(),"",IF(COUNTIFS(sales_logs!$B:$B,$A21,sales_logs!$C:$C,DATE($C$1,$E$1,AK$3),sales_logs!$I:$I,TRUE)&gt;0,"중복확인",IF(COUNTIFS(sales_logs!$B:$B,$A21,sales_logs!$C:$C,DATE($C$1,$E$1,AK$3),sales_logs!$D:$D,"휴무",sales_logs!$I:$I,FALSE)&gt;0,"휴무",IF(COUNTIFS(sales_logs!$B:$B,$A21,sales_logs!$C:$C,DATE($C$1,$E$1,AK$3),sales_logs!$I:$I,FALSE)=0,"미입력",SUMIFS(sales_logs!$E:$E,sales_logs!$B:$B,$A21,sales_logs!$C:$C,DATE($C$1,$E$1,AK$3),sales_logs!$D:$D,"영업",sales_logs!$I:$I,FALSE)))))))</f>
        <v/>
      </c>
      <c r="AL21">
        <f>IF($A21="","",IF(MONTH(DATE($C$1,$E$1,AL$3))&lt;&gt;$E$1,"---",IF(DATE($C$1,$E$1,AL$3)&gt;TODAY(),"",IF(COUNTIFS(sales_logs!$B:$B,$A21,sales_logs!$C:$C,DATE($C$1,$E$1,AL$3),sales_logs!$I:$I,TRUE)&gt;0,"중복확인",IF(COUNTIFS(sales_logs!$B:$B,$A21,sales_logs!$C:$C,DATE($C$1,$E$1,AL$3),sales_logs!$D:$D,"휴무",sales_logs!$I:$I,FALSE)&gt;0,"휴무",IF(COUNTIFS(sales_logs!$B:$B,$A21,sales_logs!$C:$C,DATE($C$1,$E$1,AL$3),sales_logs!$I:$I,FALSE)=0,"미입력",SUMIFS(sales_logs!$E:$E,sales_logs!$B:$B,$A21,sales_logs!$C:$C,DATE($C$1,$E$1,AL$3),sales_logs!$D:$D,"영업",sales_logs!$I:$I,FALSE)))))))</f>
        <v/>
      </c>
      <c r="AM21">
        <f>IF($A21="","",IF(MONTH(DATE($C$1,$E$1,AM$3))&lt;&gt;$E$1,"---",IF(DATE($C$1,$E$1,AM$3)&gt;TODAY(),"",IF(COUNTIFS(sales_logs!$B:$B,$A21,sales_logs!$C:$C,DATE($C$1,$E$1,AM$3),sales_logs!$I:$I,TRUE)&gt;0,"중복확인",IF(COUNTIFS(sales_logs!$B:$B,$A21,sales_logs!$C:$C,DATE($C$1,$E$1,AM$3),sales_logs!$D:$D,"휴무",sales_logs!$I:$I,FALSE)&gt;0,"휴무",IF(COUNTIFS(sales_logs!$B:$B,$A21,sales_logs!$C:$C,DATE($C$1,$E$1,AM$3),sales_logs!$I:$I,FALSE)=0,"미입력",SUMIFS(sales_logs!$E:$E,sales_logs!$B:$B,$A21,sales_logs!$C:$C,DATE($C$1,$E$1,AM$3),sales_logs!$D:$D,"영업",sales_logs!$I:$I,FALSE)))))))</f>
        <v/>
      </c>
      <c r="AN21">
        <f>IF($A21="","",IF(MONTH(DATE($C$1,$E$1,AN$3))&lt;&gt;$E$1,"---",IF(DATE($C$1,$E$1,AN$3)&gt;TODAY(),"",IF(COUNTIFS(sales_logs!$B:$B,$A21,sales_logs!$C:$C,DATE($C$1,$E$1,AN$3),sales_logs!$I:$I,TRUE)&gt;0,"중복확인",IF(COUNTIFS(sales_logs!$B:$B,$A21,sales_logs!$C:$C,DATE($C$1,$E$1,AN$3),sales_logs!$D:$D,"휴무",sales_logs!$I:$I,FALSE)&gt;0,"휴무",IF(COUNTIFS(sales_logs!$B:$B,$A21,sales_logs!$C:$C,DATE($C$1,$E$1,AN$3),sales_logs!$I:$I,FALSE)=0,"미입력",SUMIFS(sales_logs!$E:$E,sales_logs!$B:$B,$A21,sales_logs!$C:$C,DATE($C$1,$E$1,AN$3),sales_logs!$D:$D,"영업",sales_logs!$I:$I,FALSE)))))))</f>
        <v/>
      </c>
      <c r="AO21">
        <f>IF($A21="","",IF(MONTH(DATE($C$1,$E$1,AO$3))&lt;&gt;$E$1,"---",IF(DATE($C$1,$E$1,AO$3)&gt;TODAY(),"",IF(COUNTIFS(sales_logs!$B:$B,$A21,sales_logs!$C:$C,DATE($C$1,$E$1,AO$3),sales_logs!$I:$I,TRUE)&gt;0,"중복확인",IF(COUNTIFS(sales_logs!$B:$B,$A21,sales_logs!$C:$C,DATE($C$1,$E$1,AO$3),sales_logs!$D:$D,"휴무",sales_logs!$I:$I,FALSE)&gt;0,"휴무",IF(COUNTIFS(sales_logs!$B:$B,$A21,sales_logs!$C:$C,DATE($C$1,$E$1,AO$3),sales_logs!$I:$I,FALSE)=0,"미입력",SUMIFS(sales_logs!$E:$E,sales_logs!$B:$B,$A21,sales_logs!$C:$C,DATE($C$1,$E$1,AO$3),sales_logs!$D:$D,"영업",sales_logs!$I:$I,FALSE)))))))</f>
        <v/>
      </c>
    </row>
  </sheetData>
  <conditionalFormatting sqref="K4:AO21">
    <cfRule type="cellIs" priority="1" operator="equal" dxfId="2">
      <formula>"휴무"</formula>
    </cfRule>
    <cfRule type="cellIs" priority="2" operator="equal" dxfId="3">
      <formula>"미입력"</formula>
    </cfRule>
    <cfRule type="cellIs" priority="3" operator="equal" dxfId="4">
      <formula>"중복확인"</formula>
    </cfRule>
    <cfRule type="cellIs" priority="4" operator="equal" dxfId="5">
      <formula>"---"</formula>
    </cfRule>
  </conditionalFormatting>
  <conditionalFormatting sqref="J4:J21">
    <cfRule type="cellIs" priority="5" operator="greaterThan" dxfId="0">
      <formula>0</formula>
    </cfRule>
    <cfRule type="cellIs" priority="6" operator="lessThan" dxfId="6">
      <formula>0</formula>
    </cfRule>
  </conditionalFormatting>
  <conditionalFormatting sqref="K3:AO3">
    <cfRule type="expression" priority="7" dxfId="7">
      <formula>K$3=DAY(TODAY())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2" customWidth="1" min="4" max="4"/>
    <col width="40" customWidth="1" min="5" max="5"/>
    <col width="10" customWidth="1" min="6" max="6"/>
  </cols>
  <sheetData>
    <row r="1">
      <c r="A1" s="2" t="inlineStr">
        <is>
          <t>확인일</t>
        </is>
      </c>
      <c r="B1" s="5">
        <f>TODAY()</f>
        <v/>
      </c>
    </row>
    <row r="2">
      <c r="A2" s="2" t="inlineStr">
        <is>
          <t>오늘 제출 수</t>
        </is>
      </c>
      <c r="B2">
        <f>COUNTIF(sales_logs!$C$2:$C$1000,$B$1)</f>
        <v/>
      </c>
      <c r="C2" s="2" t="inlineStr">
        <is>
          <t>미제출 수</t>
        </is>
      </c>
      <c r="D2">
        <f>COUNTIF(stores!$G$2:$G$200,"active")-COUNTIF(sales_logs!$C$2:$C$1000,$B$1)</f>
        <v/>
      </c>
      <c r="E2" s="2" t="inlineStr">
        <is>
          <t>오늘 매출합</t>
        </is>
      </c>
      <c r="F2">
        <f>SUMIFS(sales_logs!$E$2:$E$1000,sales_logs!$C$2:$C$1000,$B$1,sales_logs!$D$2:$D$1000,"영업")</f>
        <v/>
      </c>
    </row>
    <row r="4">
      <c r="A4" s="1" t="inlineStr">
        <is>
          <t>담당컨설턴트</t>
        </is>
      </c>
      <c r="B4" s="1" t="inlineStr">
        <is>
          <t>업체명</t>
        </is>
      </c>
      <c r="C4" s="1" t="inlineStr">
        <is>
          <t>연락처</t>
        </is>
      </c>
      <c r="D4" s="1" t="inlineStr">
        <is>
          <t>미입력일</t>
        </is>
      </c>
      <c r="E4" s="1" t="inlineStr">
        <is>
          <t>입력링크</t>
        </is>
      </c>
      <c r="F4" s="1" t="inlineStr">
        <is>
          <t>상태</t>
        </is>
      </c>
    </row>
    <row r="5">
      <c r="A5">
        <f>IFERROR(LET(cond,(stores!$G$2:$G$200="active")*(COUNTIFS(sales_logs!$B$2:$B$1000,stores!$A$2:$A$200,sales_logs!$C$2:$C$1000,$B$1)=0),HSTACK(FILTER(stores!$B$2:$B$200,cond),FILTER(stores!$C$2:$C$200,cond),FILTER(stores!$E$2:$E$200,cond),FILTER(IF(stores!$A$2:$A$200&lt;&gt;"",$B$1,""),cond),FILTER(stores!$H$2:$H$200,cond),FILTER(stores!$G$2:$G$200,cond))),"오늘 미제출 매장 없음")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2026-06-30T01:23:46Z</dcterms:created>
  <dcterms:modified xsi:type="dcterms:W3CDTF">2026-06-30T01:23:46Z</dcterms:modified>
</cp:coreProperties>
</file>